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Dashboard" sheetId="2" state="visible" r:id="rId4"/>
    <sheet name="How to use" sheetId="3" state="visible" r:id="rId5"/>
  </sheets>
  <definedNames>
    <definedName function="false" hidden="true" localSheetId="0" name="_xlnm._FilterDatabase" vbProcedure="false">Backlog!$A$1:$N$55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<sst xmlns="http://schemas.openxmlformats.org/spreadsheetml/2006/main" count="511" uniqueCount="260">
  <si>
    <t xml:space="preserve">Epic ID</t>
  </si>
  <si>
    <t xml:space="preserve">Epic Name</t>
  </si>
  <si>
    <t xml:space="preserve">Story ID</t>
  </si>
  <si>
    <t xml:space="preserve">User Story</t>
  </si>
  <si>
    <t xml:space="preserve">Acceptance Criteria</t>
  </si>
  <si>
    <t xml:space="preserve">Priority</t>
  </si>
  <si>
    <t xml:space="preserve">Points</t>
  </si>
  <si>
    <t xml:space="preserve">Release</t>
  </si>
  <si>
    <t xml:space="preserve">Status</t>
  </si>
  <si>
    <t xml:space="preserve">Assignee</t>
  </si>
  <si>
    <t xml:space="preserve">Sprint</t>
  </si>
  <si>
    <t xml:space="preserve">Start Date</t>
  </si>
  <si>
    <t xml:space="preserve">Due Date</t>
  </si>
  <si>
    <t xml:space="preserve">Notes</t>
  </si>
  <si>
    <t xml:space="preserve">0</t>
  </si>
  <si>
    <t xml:space="preserve">Discovery &amp; Architecture Spikes</t>
  </si>
  <si>
    <t xml:space="preserve">SPIKE-1</t>
  </si>
  <si>
    <t xml:space="preserve">As an engineering team, I want to decide between NestJS and FastAPI for the backend API, so that we commit to one technology stack before development starts.</t>
  </si>
  <si>
    <t xml:space="preserve">- Comparison against team skills, ecosystem, and performance needs is documented
- Decision is approved by the tech lead and recorded in the architecture doc</t>
  </si>
  <si>
    <t xml:space="preserve">Must</t>
  </si>
  <si>
    <t xml:space="preserve">Release 1</t>
  </si>
  <si>
    <t xml:space="preserve">Not Started</t>
  </si>
  <si>
    <t xml:space="preserve">SPIKE-2</t>
  </si>
  <si>
    <t xml:space="preserve">As an engineering team, I want to choose between Apache AGE and Neo4j for the graph database, so that the ingestion and retrieval layers can be built on a confirmed technology.</t>
  </si>
  <si>
    <t xml:space="preserve">- Trade-off analysis (cost, hosting, query language, team familiarity) is documented
- Decision is recorded and shared with the team</t>
  </si>
  <si>
    <t xml:space="preserve">SPIKE-3</t>
  </si>
  <si>
    <t xml:space="preserve">As an engineering team, I want to select a vector store (pgvector, Qdrant, or Weaviate), so that embeddings can be stored and queried efficiently.</t>
  </si>
  <si>
    <t xml:space="preserve">- Comparison of shortlisted options is documented
- Decision aligns with the chosen graph DB and hosting strategy</t>
  </si>
  <si>
    <t xml:space="preserve">SPIKE-4</t>
  </si>
  <si>
    <t xml:space="preserve">As an engineering team, I want to define the multi-tenant isolation strategy (row-level vs schema-level), so that tenant data isolation is designed correctly from day one.</t>
  </si>
  <si>
    <t xml:space="preserve">- Isolation approach is documented for both the graph DB and vector store
- Approach is validated against the 'no cross-tenant access' requirement</t>
  </si>
  <si>
    <t xml:space="preserve">SPIKE-5</t>
  </si>
  <si>
    <t xml:space="preserve">As a product owner, I want to confirm which LLM providers will be supported at launch, so that the LLM abstraction layer and BYOK feature can be scoped correctly.</t>
  </si>
  <si>
    <t xml:space="preserve">- List of supported providers (e.g., Anthropic, OpenAI) is approved
- Decision documented in the architecture doc</t>
  </si>
  <si>
    <t xml:space="preserve">SPIKE-6</t>
  </si>
  <si>
    <t xml:space="preserve">As a product owner, I want to define the billing model and quota structure, so that usage limits and monetization can be implemented consistently.</t>
  </si>
  <si>
    <t xml:space="preserve">- Pricing tiers and quota rules are documented
- Model is validated with stakeholders</t>
  </si>
  <si>
    <t xml:space="preserve">Should</t>
  </si>
  <si>
    <t xml:space="preserve">SPIKE-7</t>
  </si>
  <si>
    <t xml:space="preserve">As a product owner, I want to confirm the final SLA target for platform uptime, so that infrastructure and on-call plans can be sized accordingly.</t>
  </si>
  <si>
    <t xml:space="preserve">- SLA percentage is agreed upon (e.g., 99.5%)
- SLA is documented and communicated to the team</t>
  </si>
  <si>
    <t xml:space="preserve">SPIKE-8</t>
  </si>
  <si>
    <t xml:space="preserve">As a product owner, I want to define the data retention policy for documents and conversation history, so that the platform stays compliant and predictable in storage cost.</t>
  </si>
  <si>
    <t xml:space="preserve">- Retention periods for documents and chat history are documented
- Deletion/archival mechanism is scoped</t>
  </si>
  <si>
    <t xml:space="preserve">SPIKE-9</t>
  </si>
  <si>
    <t xml:space="preserve">As an engineering team, I want to define the monitoring and alerting strategy, so that the observability epic can be implemented against a clear plan.</t>
  </si>
  <si>
    <t xml:space="preserve">- Tooling (e.g., Prometheus/Grafana or a hosted alternative) is selected
- Key metrics and alert thresholds are drafted</t>
  </si>
  <si>
    <t xml:space="preserve">1</t>
  </si>
  <si>
    <t xml:space="preserve">Tenant Onboarding &amp; Authentication</t>
  </si>
  <si>
    <t xml:space="preserve">US-1.1</t>
  </si>
  <si>
    <t xml:space="preserve">As a prospective tenant, I want to sign up for an account, so that I can start using the platform.</t>
  </si>
  <si>
    <t xml:space="preserve">- Sign-up validates email format and password strength
- A new tenant record and isolated workspace are created on success
- A confirmation email is sent</t>
  </si>
  <si>
    <t xml:space="preserve">US-1.2</t>
  </si>
  <si>
    <t xml:space="preserve">As a tenant admin, I want to log in securely to my account, so that I can access my dashboard.</t>
  </si>
  <si>
    <t xml:space="preserve">- Login uses JWT/OAuth2-based authentication
- Invalid credentials show a generic error message
- Sessions expire after a defined inactivity period</t>
  </si>
  <si>
    <t xml:space="preserve">US-1.3</t>
  </si>
  <si>
    <t xml:space="preserve">As a tenant admin, I want to go through a guided onboarding flow (self-service or by invitation), so that I can set up my chatbot with minimal friction.</t>
  </si>
  <si>
    <t xml:space="preserve">- Wizard covers account setup, first data source, and chatbot basics
- Invitation-based onboarding pre-fills the relevant tenant context</t>
  </si>
  <si>
    <t xml:space="preserve">US-1.4</t>
  </si>
  <si>
    <t xml:space="preserve">As a tenant admin, I want to invite team members to my organization, so that we can collaborate on managing the chatbot.</t>
  </si>
  <si>
    <t xml:space="preserve">- Invite is sent by email with a secure sign-up link
- Invited user is assigned a default role (e.g., Viewer)</t>
  </si>
  <si>
    <t xml:space="preserve">2</t>
  </si>
  <si>
    <t xml:space="preserve">Data Source Management &amp; Ingestion Pipeline</t>
  </si>
  <si>
    <t xml:space="preserve">US-2.1</t>
  </si>
  <si>
    <t xml:space="preserve">As a tenant admin, I want to upload documents (PDF, DOCX, TXT, CSV), so that the chatbot can be trained on my company data.</t>
  </si>
  <si>
    <t xml:space="preserve">- Upload accepts supported file types and rejects others clearly
- Files are stored in tenant-isolated object storage
- Upload automatically triggers the ingestion pipeline</t>
  </si>
  <si>
    <t xml:space="preserve">US-2.2</t>
  </si>
  <si>
    <t xml:space="preserve">As a tenant admin, I want to add a URL to be crawled, so that my website content becomes part of the chatbot's knowledge.</t>
  </si>
  <si>
    <t xml:space="preserve">- Provided URL is validated and queued for crawling
- Crawled pages are chunked through the same pipeline as documents</t>
  </si>
  <si>
    <t xml:space="preserve">US-2.3</t>
  </si>
  <si>
    <t xml:space="preserve">As a tenant admin, I want to manually enter text as a knowledge source, so that I can quickly add small pieces of information without a file.</t>
  </si>
  <si>
    <t xml:space="preserve">- A text entry form saves content directly into the ingestion pipeline
- Entered text appears in the source list like any other source</t>
  </si>
  <si>
    <t xml:space="preserve">Could</t>
  </si>
  <si>
    <t xml:space="preserve">US-2.4</t>
  </si>
  <si>
    <t xml:space="preserve">As an ingestion pipeline, I want to parse, chunk, and extract entities and relations from ingested content, so that a knowledge graph can be built automatically.</t>
  </si>
  <si>
    <t xml:space="preserve">- Parsing supports all accepted file types and crawled pages
- Entity/relation extraction uses a configurable LLM step
- Failures are logged and retried without blocking the queue</t>
  </si>
  <si>
    <t xml:space="preserve">US-2.5</t>
  </si>
  <si>
    <t xml:space="preserve">As an ingestion pipeline, I want to generate embeddings and index them into an isolated vector store per tenant, so that retrieval stays fast and strictly tenant-scoped.</t>
  </si>
  <si>
    <t xml:space="preserve">- Embeddings are written only to the requesting tenant's namespace/schema
- Indexing status is reported back to the source record</t>
  </si>
  <si>
    <t xml:space="preserve">US-2.6</t>
  </si>
  <si>
    <t xml:space="preserve">As a tenant admin, I want to view the list of imported sources and their indexing status, so that I can track ingestion progress.</t>
  </si>
  <si>
    <t xml:space="preserve">- List shows source name, type, upload date, and status
- Status updates in near real-time</t>
  </si>
  <si>
    <t xml:space="preserve">US-2.7</t>
  </si>
  <si>
    <t xml:space="preserve">As a tenant admin, I want to delete a source, so that outdated or incorrect data is removed from the knowledge base.</t>
  </si>
  <si>
    <t xml:space="preserve">- Deleting a source removes its chunks, embeddings, and graph nodes
- Action requires confirmation</t>
  </si>
  <si>
    <t xml:space="preserve">US-2.8</t>
  </si>
  <si>
    <t xml:space="preserve">As a tenant admin, I want to re-trigger indexing for a source, so that I can refresh the knowledge base after the source content changes.</t>
  </si>
  <si>
    <t xml:space="preserve">- Re-index replaces previous embeddings/graph data for that source
- Re-index respects the same isolation guarantees as initial ingestion</t>
  </si>
  <si>
    <t xml:space="preserve">3</t>
  </si>
  <si>
    <t xml:space="preserve">Chatbot Configuration &amp; Personalization</t>
  </si>
  <si>
    <t xml:space="preserve">US-3.1</t>
  </si>
  <si>
    <t xml:space="preserve">As a tenant admin, I want to set the chatbot's name, avatar, and welcome message, so that it matches my brand identity.</t>
  </si>
  <si>
    <t xml:space="preserve">- Changes are reflected immediately in the widget preview
- Avatar upload supports common image formats with a size limit</t>
  </si>
  <si>
    <t xml:space="preserve">Release 2</t>
  </si>
  <si>
    <t xml:space="preserve">US-3.2</t>
  </si>
  <si>
    <t xml:space="preserve">As a tenant admin, I want to define the chatbot's tone/persona and supported languages, so that it communicates the way I want with my users.</t>
  </si>
  <si>
    <t xml:space="preserve">- Persona setting influences the system prompt sent to the LLM
- Multiple languages can be selected and one set as default</t>
  </si>
  <si>
    <t xml:space="preserve">US-3.3</t>
  </si>
  <si>
    <t xml:space="preserve">As a tenant admin, I want to configure retrieval parameters (Top-K, graph/vector weighting, max response length), so that I can tune answer quality and cost.</t>
  </si>
  <si>
    <t xml:space="preserve">- Changes apply to subsequent queries without redeployment
- Sensible defaults are pre-filled for non-technical users</t>
  </si>
  <si>
    <t xml:space="preserve">US-3.4</t>
  </si>
  <si>
    <t xml:space="preserve">As a tenant admin, I want to bring my own LLM API key (BYOK) or use platform-provided credits, so that I control cost and choice of provider.</t>
  </si>
  <si>
    <t xml:space="preserve">- BYOK keys are stored encrypted and never re-displayed after entry
- The platform clearly blocks or falls back when credits are exhausted</t>
  </si>
  <si>
    <t xml:space="preserve">4</t>
  </si>
  <si>
    <t xml:space="preserve">Public API &amp; Developer Access</t>
  </si>
  <si>
    <t xml:space="preserve">US-4.1</t>
  </si>
  <si>
    <t xml:space="preserve">As a developer, I want to send a chat message via REST API and receive a GraphRAG-based response, so that I can integrate the chatbot into my own application.</t>
  </si>
  <si>
    <t xml:space="preserve">- Endpoint accepts a message and a tenant-scoped API key
- Response is returned within the 3-5 second performance target</t>
  </si>
  <si>
    <t xml:space="preserve">US-4.2</t>
  </si>
  <si>
    <t xml:space="preserve">As a developer, I want to manage conversation sessions and history via API, so that I can build multi-turn conversational experiences.</t>
  </si>
  <si>
    <t xml:space="preserve">- Sessions are created, retrieved, and closed via dedicated endpoints
- History is scoped to the tenant and the end user</t>
  </si>
  <si>
    <t xml:space="preserve">US-4.3</t>
  </si>
  <si>
    <t xml:space="preserve">As a developer, I want to manage data sources programmatically via API, so that ingestion can be automated from my own systems.</t>
  </si>
  <si>
    <t xml:space="preserve">- API supports create, list, delete, and re-index operations on sources
- Same validation rules apply as in the dashboard</t>
  </si>
  <si>
    <t xml:space="preserve">US-4.4</t>
  </si>
  <si>
    <t xml:space="preserve">As a tenant admin, I want to generate, rotate, and revoke API keys, so that I can control programmatic access securely.</t>
  </si>
  <si>
    <t xml:space="preserve">- Newly generated keys are shown once and stored hashed
- Revoked keys are rejected immediately by the API gateway</t>
  </si>
  <si>
    <t xml:space="preserve">US-4.5</t>
  </si>
  <si>
    <t xml:space="preserve">As a platform, I want to enforce rate limiting and per-key usage quotas, so that abuse and runaway costs are prevented.</t>
  </si>
  <si>
    <t xml:space="preserve">- Requests beyond the limit receive a standard 429 response
- Quota usage is visible to the tenant admin</t>
  </si>
  <si>
    <t xml:space="preserve">US-4.6</t>
  </si>
  <si>
    <t xml:space="preserve">As a developer, I want access to OpenAPI/Swagger documentation, so that I can integrate quickly and correctly.</t>
  </si>
  <si>
    <t xml:space="preserve">- Documentation is auto-generated from the API definitions
- Docs include authentication and example requests/responses</t>
  </si>
  <si>
    <t xml:space="preserve">US-4.7</t>
  </si>
  <si>
    <t xml:space="preserve">As a developer, I want an optional GraphQL endpoint alongside REST, so that I can query the chatbot and data in a more flexible way.</t>
  </si>
  <si>
    <t xml:space="preserve">- GraphQL schema mirrors core REST capabilities (chat, sessions, sources)
- Same auth and rate-limiting rules apply as REST</t>
  </si>
  <si>
    <t xml:space="preserve">5</t>
  </si>
  <si>
    <t xml:space="preserve">Embeddable Micro-Frontend Widget</t>
  </si>
  <si>
    <t xml:space="preserve">US-5.1</t>
  </si>
  <si>
    <t xml:space="preserve">As a tenant admin, I want to copy a script or Web Component snippet, so that I can embed the chatbot on my website with minimal effort.</t>
  </si>
  <si>
    <t xml:space="preserve">- Snippet includes the tenant ID and a public widget key
- Widget loads asynchronously without blocking the host page</t>
  </si>
  <si>
    <t xml:space="preserve">US-5.2</t>
  </si>
  <si>
    <t xml:space="preserve">As a tenant admin, I want to configure the widget's theme, colors, position, and language through the snippet, so that it fits my site's design and audience.</t>
  </si>
  <si>
    <t xml:space="preserve">- Configuration options are documented with examples
- Invalid configuration values fall back to sensible defaults</t>
  </si>
  <si>
    <t xml:space="preserve">US-5.3</t>
  </si>
  <si>
    <t xml:space="preserve">As an end user, I want the widget to render responsively on desktop and mobile without breaking the host site's styles, so that I have a smooth chat experience anywhere.</t>
  </si>
  <si>
    <t xml:space="preserve">- Widget styles are isolated using Shadow DOM
- Layout adapts correctly at common breakpoints</t>
  </si>
  <si>
    <t xml:space="preserve">US-5.4</t>
  </si>
  <si>
    <t xml:space="preserve">As an end user, I want the widget to function without iframe-related issues, so that interactions such as scrolling, focus, and resizing feel native.</t>
  </si>
  <si>
    <t xml:space="preserve">- No iframe is used for the core widget experience
- Keyboard and screen-reader navigation work as expected</t>
  </si>
  <si>
    <t xml:space="preserve">6</t>
  </si>
  <si>
    <t xml:space="preserve">Tenant Dashboard &amp; Analytics</t>
  </si>
  <si>
    <t xml:space="preserve">US-6.1</t>
  </si>
  <si>
    <t xml:space="preserve">As a tenant admin, I want to see analytics on messages sent, active users, and tokens consumed, so that I can monitor chatbot usage and value.</t>
  </si>
  <si>
    <t xml:space="preserve">- Dashboard shows daily/weekly/monthly trends
- Data refreshes at least once per day</t>
  </si>
  <si>
    <t xml:space="preserve">US-6.2</t>
  </si>
  <si>
    <t xml:space="preserve">As a tenant admin, I want to manage users within my organization with Admin, Editor, and Viewer roles, so that I can control who can change versus just view settings.</t>
  </si>
  <si>
    <t xml:space="preserve">- Role permissions are enforced on every relevant action
- Removing a user immediately revokes their dashboard access</t>
  </si>
  <si>
    <t xml:space="preserve">US-6.3</t>
  </si>
  <si>
    <t xml:space="preserve">As a tenant admin, I want to view my current consumption, quotas, and billing status, so that I can manage costs proactively.</t>
  </si>
  <si>
    <t xml:space="preserve">- Consumption view matches usage tracked by the API/quota system
- A near-quota state is visually flagged</t>
  </si>
  <si>
    <t xml:space="preserve">7</t>
  </si>
  <si>
    <t xml:space="preserve">Billing &amp; Quotas</t>
  </si>
  <si>
    <t xml:space="preserve">US-7.1</t>
  </si>
  <si>
    <t xml:space="preserve">As a tenant admin, I want to view my billing plan and past invoices, so that I understand what I am being charged for.</t>
  </si>
  <si>
    <t xml:space="preserve">- Invoice history is listed with downloadable receipts
- Current plan and renewal date are clearly shown</t>
  </si>
  <si>
    <t xml:space="preserve">Release 3</t>
  </si>
  <si>
    <t xml:space="preserve">US-7.2</t>
  </si>
  <si>
    <t xml:space="preserve">As a platform, I want to enforce usage quotas per tenant based on their plan, so that resource usage stays within contracted limits.</t>
  </si>
  <si>
    <t xml:space="preserve">- Quota checks run before expensive operations (ingestion, chat calls)
- Tenant is notified when approaching or exceeding quota</t>
  </si>
  <si>
    <t xml:space="preserve">8</t>
  </si>
  <si>
    <t xml:space="preserve">Super Admin / Platform Administration</t>
  </si>
  <si>
    <t xml:space="preserve">US-8.1</t>
  </si>
  <si>
    <t xml:space="preserve">As a super admin, I want to create, suspend, and delete tenants, so that I can manage the full tenant lifecycle.</t>
  </si>
  <si>
    <t xml:space="preserve">- Suspending a tenant blocks API and widget access without deleting data
- Deleting a tenant removes all associated data across every store</t>
  </si>
  <si>
    <t xml:space="preserve">US-8.2</t>
  </si>
  <si>
    <t xml:space="preserve">As a super admin, I want to monitor global system health, ingestion queues, and per-tenant resource usage, so that I can ensure platform stability.</t>
  </si>
  <si>
    <t xml:space="preserve">- A single view surfaces queue backlogs and failing jobs
- Per-tenant resource usage is visible for capacity planning</t>
  </si>
  <si>
    <t xml:space="preserve">US-8.3</t>
  </si>
  <si>
    <t xml:space="preserve">As a super admin, I want a global view of usage and billing across all tenants, so that I can track platform-wide business metrics.</t>
  </si>
  <si>
    <t xml:space="preserve">- View aggregates usage and revenue figures across tenants
- Data can be filtered by time period and plan tier</t>
  </si>
  <si>
    <t xml:space="preserve">9</t>
  </si>
  <si>
    <t xml:space="preserve">Multi-Tenant Isolation &amp; Security</t>
  </si>
  <si>
    <t xml:space="preserve">US-9.1</t>
  </si>
  <si>
    <t xml:space="preserve">As a platform, I want every API request and retrieval query to be scoped by tenant_id, so that no cross-tenant data leakage can occur.</t>
  </si>
  <si>
    <t xml:space="preserve">- tenant_id is enforced at the API gateway and the data-access layer
- Automated tests verify one tenant cannot retrieve another tenant's data</t>
  </si>
  <si>
    <t xml:space="preserve">US-9.2</t>
  </si>
  <si>
    <t xml:space="preserve">As a platform, I want data encrypted at rest and in transit, so that tenant data is protected against unauthorized access.</t>
  </si>
  <si>
    <t xml:space="preserve">- All storage layers use encryption at rest
- All external traffic uses TLS</t>
  </si>
  <si>
    <t xml:space="preserve">US-9.3</t>
  </si>
  <si>
    <t xml:space="preserve">As a platform, I want JWT/OAuth2-based authentication with input validation and sanitization, so that the system is protected against common attack vectors.</t>
  </si>
  <si>
    <t xml:space="preserve">- All endpoints reject unauthenticated requests unless explicitly public
- Inputs are validated and sanitized before reaching the database or LLM layer</t>
  </si>
  <si>
    <t xml:space="preserve">10</t>
  </si>
  <si>
    <t xml:space="preserve">Scalability, Performance &amp; Observability</t>
  </si>
  <si>
    <t xml:space="preserve">US-10.1</t>
  </si>
  <si>
    <t xml:space="preserve">As a platform, I want ingestion workers and query services to scale horizontally, so that the platform can support many tenants without a dedicated architecture per client.</t>
  </si>
  <si>
    <t xml:space="preserve">- Workers and API services run as independently scalable containers
- Load testing confirms horizontal scaling improves throughput</t>
  </si>
  <si>
    <t xml:space="preserve">US-10.2</t>
  </si>
  <si>
    <t xml:space="preserve">As a platform, I want large file processing to run asynchronously, so that uploads never block the user interface.</t>
  </si>
  <si>
    <t xml:space="preserve">- Upload returns immediately with a 'processing' status
- The user can navigate away and later see the completed status</t>
  </si>
  <si>
    <t xml:space="preserve">US-10.3</t>
  </si>
  <si>
    <t xml:space="preserve">As an end user, I want chatbot responses within 3-5 seconds including retrieval and generation, so that the experience feels responsive.</t>
  </si>
  <si>
    <t xml:space="preserve">- Performance is measured under representative load
- A performance budget is documented per pipeline stage</t>
  </si>
  <si>
    <t xml:space="preserve">US-10.4</t>
  </si>
  <si>
    <t xml:space="preserve">As a platform team, I want logs, metrics, and tracing available per tenant and per service, so that issues can be diagnosed quickly.</t>
  </si>
  <si>
    <t xml:space="preserve">- Each request is traceable end-to-end with a correlation ID
- Dashboards exist for the key services (API, ingestion, LLM layer)</t>
  </si>
  <si>
    <t xml:space="preserve">11</t>
  </si>
  <si>
    <t xml:space="preserve">Infrastructure &amp; Deployment</t>
  </si>
  <si>
    <t xml:space="preserve">US-11.1</t>
  </si>
  <si>
    <t xml:space="preserve">As a DevOps engineer, I want Docker and Kubernetes-ready deployment configurations, so that the platform can be deployed consistently across environments.</t>
  </si>
  <si>
    <t xml:space="preserve">- Each service has a Dockerfile and a Compose entry for local development
- Kubernetes manifests or Helm charts exist for staging/production</t>
  </si>
  <si>
    <t xml:space="preserve">US-11.2</t>
  </si>
  <si>
    <t xml:space="preserve">As a DevOps engineer, I want a CI/CD pipeline, so that releases are automated, tested, and reliable.</t>
  </si>
  <si>
    <t xml:space="preserve">- Pipeline runs tests and builds on every merge to main
- Deployment to staging is automated; production is gated by approval</t>
  </si>
  <si>
    <t xml:space="preserve">12</t>
  </si>
  <si>
    <t xml:space="preserve">Documentation</t>
  </si>
  <si>
    <t xml:space="preserve">US-12.1</t>
  </si>
  <si>
    <t xml:space="preserve">As a developer, I want architecture and integration documentation (API guide, widget integration guide, architecture overview), so that I can understand, integrate with, and extend the system.</t>
  </si>
  <si>
    <t xml:space="preserve">- Documentation covers API auth, endpoints, and the widget snippet
- The architecture overview stays up to date with major changes</t>
  </si>
  <si>
    <t xml:space="preserve">GraphRAG Chatbot Platform — Progress Dashboard</t>
  </si>
  <si>
    <t xml:space="preserve">Live totals below are calculated from the Backlog sheet — just keep Status up to date.</t>
  </si>
  <si>
    <t xml:space="preserve">Overall Progress</t>
  </si>
  <si>
    <t xml:space="preserve">Total Story Points</t>
  </si>
  <si>
    <t xml:space="preserve">Completed Story Points</t>
  </si>
  <si>
    <t xml:space="preserve">% Complete (Points)</t>
  </si>
  <si>
    <t xml:space="preserve">Total Stories</t>
  </si>
  <si>
    <t xml:space="preserve">Completed Stories</t>
  </si>
  <si>
    <t xml:space="preserve">In Progress</t>
  </si>
  <si>
    <t xml:space="preserve">Blocked</t>
  </si>
  <si>
    <t xml:space="preserve">Progress by Epic</t>
  </si>
  <si>
    <t xml:space="preserve">Epic</t>
  </si>
  <si>
    <t xml:space="preserve">Total Pts</t>
  </si>
  <si>
    <t xml:space="preserve">Done Pts</t>
  </si>
  <si>
    <t xml:space="preserve">% Complete</t>
  </si>
  <si>
    <t xml:space="preserve">Stories</t>
  </si>
  <si>
    <t xml:space="preserve">Done Stories</t>
  </si>
  <si>
    <t xml:space="preserve">0. Discovery &amp; Architecture Spikes</t>
  </si>
  <si>
    <t xml:space="preserve">1. Tenant Onboarding &amp; Authentication</t>
  </si>
  <si>
    <t xml:space="preserve">2. Data Source Management &amp; Ingestion Pipeline</t>
  </si>
  <si>
    <t xml:space="preserve">3. Chatbot Configuration &amp; Personalization</t>
  </si>
  <si>
    <t xml:space="preserve">4. Public API &amp; Developer Access</t>
  </si>
  <si>
    <t xml:space="preserve">5. Embeddable Micro-Frontend Widget</t>
  </si>
  <si>
    <t xml:space="preserve">6. Tenant Dashboard &amp; Analytics</t>
  </si>
  <si>
    <t xml:space="preserve">7. Billing &amp; Quotas</t>
  </si>
  <si>
    <t xml:space="preserve">8. Super Admin / Platform Administration</t>
  </si>
  <si>
    <t xml:space="preserve">9. Multi-Tenant Isolation &amp; Security</t>
  </si>
  <si>
    <t xml:space="preserve">10. Scalability, Performance &amp; Observability</t>
  </si>
  <si>
    <t xml:space="preserve">11. Infrastructure &amp; Deployment</t>
  </si>
  <si>
    <t xml:space="preserve">12. Documentation</t>
  </si>
  <si>
    <t xml:space="preserve">Progress by Priority</t>
  </si>
  <si>
    <t xml:space="preserve">Story Status Breakdown</t>
  </si>
  <si>
    <t xml:space="preserve">In Review</t>
  </si>
  <si>
    <t xml:space="preserve">Done</t>
  </si>
  <si>
    <t xml:space="preserve">How to use this tracker</t>
  </si>
  <si>
    <t xml:space="preserve">1. Backlog sheet</t>
  </si>
  <si>
    <t xml:space="preserve">This is the full product backlog (54 items across 13 epics), carried over from the product backlog document.</t>
  </si>
  <si>
    <t xml:space="preserve">Blue-gray headers (columns A-H) are the backlog definition — epic, story, acceptance criteria, priority, points, planned release. Leave these as-is.</t>
  </si>
  <si>
    <t xml:space="preserve">Orange headers (columns I-N) are for your team to fill in and update as work progresses: Status, Assignee, Sprint, Start Date, Due Date, Notes.</t>
  </si>
  <si>
    <t xml:space="preserve">Status is a dropdown: Not Started, In Progress, In Review, Blocked, Done. The cell colors automatically once you pick a value.</t>
  </si>
  <si>
    <t xml:space="preserve">Sprint is a dropdown (Backlog, Sprint 0-11) matching the release plan's suggested sprint ranges.</t>
  </si>
  <si>
    <t xml:space="preserve">Use the filter arrows on row 1 to view one epic, one assignee, or one status at a time.</t>
  </si>
  <si>
    <t xml:space="preserve">2. Dashboard sheet</t>
  </si>
  <si>
    <t xml:space="preserve">Everything here is a live formula pulling from the Backlog sheet — it updates automatically as you change Status.</t>
  </si>
  <si>
    <t xml:space="preserve">Overall Progress: total points, completed points, and story counts by status.</t>
  </si>
  <si>
    <t xml:space="preserve">Progress by Epic / by Priority: where the team's effort stands, broken down two ways.</t>
  </si>
  <si>
    <t xml:space="preserve">Charts: points completed vs. total per epic, and a status breakdown pie chart.</t>
  </si>
  <si>
    <t xml:space="preserve">3. Suggested workflow</t>
  </si>
  <si>
    <t xml:space="preserve">At sprint planning, set the Sprint column for the stories you are committing to.</t>
  </si>
  <si>
    <t xml:space="preserve">As work starts, set Assignee and move Status to 'In Progress', then 'In Review', then 'Done'.</t>
  </si>
  <si>
    <t xml:space="preserve">Check the Dashboard sheet in stand-ups or before a manager update — no manual counting needed.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</si>
</sst>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General"/>
    <numFmt numFmtId="167" formatCode="0.0%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.5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55A11"/>
        <bgColor rgb="FFC0504D"/>
      </patternFill>
    </fill>
    <fill>
      <patternFill patternType="solid">
        <fgColor rgb="FFDCE6F5"/>
        <bgColor rgb="FFD9D9D9"/>
      </patternFill>
    </fill>
    <fill>
      <patternFill patternType="solid">
        <fgColor rgb="FFFCE4D6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4472C4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CE6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E699"/>
      <rgbColor rgb="FF99CCFF"/>
      <rgbColor rgb="FFFCE4D6"/>
      <rgbColor rgb="FFCC99FF"/>
      <rgbColor rgb="FFF8CBAD"/>
      <rgbColor rgb="FF4472C4"/>
      <rgbColor rgb="FF4BACC6"/>
      <rgbColor rgb="FF9BBB59"/>
      <rgbColor rgb="FFFFCC00"/>
      <rgbColor rgb="FFFF9900"/>
      <rgbColor rgb="FFC55A11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Story Points by Epic — Total vs. Done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Dashboard!B15</c:f>
              <c:strCache>
                <c:ptCount val="1"/>
                <c:pt idx="0">
                  <c:v>Total Pts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Dashboard!$A$16:$A$28</c:f>
              <c:strCache>
                <c:ptCount val="13"/>
                <c:pt idx="0">
                  <c:v>0. Discovery &amp; Architecture Spikes</c:v>
                </c:pt>
                <c:pt idx="1">
                  <c:v>1. Tenant Onboarding &amp; Authentication</c:v>
                </c:pt>
                <c:pt idx="2">
                  <c:v>2. Data Source Management &amp; Ingestion Pipeline</c:v>
                </c:pt>
                <c:pt idx="3">
                  <c:v>3. Chatbot Configuration &amp; Personalization</c:v>
                </c:pt>
                <c:pt idx="4">
                  <c:v>4. Public API &amp; Developer Access</c:v>
                </c:pt>
                <c:pt idx="5">
                  <c:v>5. Embeddable Micro-Frontend Widget</c:v>
                </c:pt>
                <c:pt idx="6">
                  <c:v>6. Tenant Dashboard &amp; Analytics</c:v>
                </c:pt>
                <c:pt idx="7">
                  <c:v>7. Billing &amp; Quotas</c:v>
                </c:pt>
                <c:pt idx="8">
                  <c:v>8. Super Admin / Platform Administration</c:v>
                </c:pt>
                <c:pt idx="9">
                  <c:v>9. Multi-Tenant Isolation &amp; Security</c:v>
                </c:pt>
                <c:pt idx="10">
                  <c:v>10. Scalability, Performance &amp; Observability</c:v>
                </c:pt>
                <c:pt idx="11">
                  <c:v>11. Infrastructure &amp; Deployment</c:v>
                </c:pt>
                <c:pt idx="12">
                  <c:v>12. Documentation</c:v>
                </c:pt>
              </c:strCache>
            </c:strRef>
          </c:cat>
          <c:val>
            <c:numRef>
              <c:f>Dashboard!$B$16:$B$28</c:f>
              <c:numCache>
                <c:formatCode>General</c:formatCode>
                <c:ptCount val="13"/>
                <c:pt idx="0">
                  <c:v>23</c:v>
                </c:pt>
                <c:pt idx="1">
                  <c:v>18</c:v>
                </c:pt>
                <c:pt idx="2">
                  <c:v>58</c:v>
                </c:pt>
                <c:pt idx="3">
                  <c:v>24</c:v>
                </c:pt>
                <c:pt idx="4">
                  <c:v>55</c:v>
                </c:pt>
                <c:pt idx="5">
                  <c:v>26</c:v>
                </c:pt>
                <c:pt idx="6">
                  <c:v>21</c:v>
                </c:pt>
                <c:pt idx="7">
                  <c:v>13</c:v>
                </c:pt>
                <c:pt idx="8">
                  <c:v>21</c:v>
                </c:pt>
                <c:pt idx="9">
                  <c:v>29</c:v>
                </c:pt>
                <c:pt idx="10">
                  <c:v>37</c:v>
                </c:pt>
                <c:pt idx="11">
                  <c:v>16</c:v>
                </c:pt>
                <c:pt idx="12">
                  <c:v>5</c:v>
                </c:pt>
              </c:numCache>
            </c:numRef>
          </c:val>
        </c:ser>
        <c:ser>
          <c:idx val="1"/>
          <c:order val="1"/>
          <c:tx>
            <c:strRef>
              <c:f>Dashboard!C15</c:f>
              <c:strCache>
                <c:ptCount val="1"/>
                <c:pt idx="0">
                  <c:v>Done Pts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Dashboard!$A$16:$A$28</c:f>
              <c:strCache>
                <c:ptCount val="13"/>
                <c:pt idx="0">
                  <c:v>0. Discovery &amp; Architecture Spikes</c:v>
                </c:pt>
                <c:pt idx="1">
                  <c:v>1. Tenant Onboarding &amp; Authentication</c:v>
                </c:pt>
                <c:pt idx="2">
                  <c:v>2. Data Source Management &amp; Ingestion Pipeline</c:v>
                </c:pt>
                <c:pt idx="3">
                  <c:v>3. Chatbot Configuration &amp; Personalization</c:v>
                </c:pt>
                <c:pt idx="4">
                  <c:v>4. Public API &amp; Developer Access</c:v>
                </c:pt>
                <c:pt idx="5">
                  <c:v>5. Embeddable Micro-Frontend Widget</c:v>
                </c:pt>
                <c:pt idx="6">
                  <c:v>6. Tenant Dashboard &amp; Analytics</c:v>
                </c:pt>
                <c:pt idx="7">
                  <c:v>7. Billing &amp; Quotas</c:v>
                </c:pt>
                <c:pt idx="8">
                  <c:v>8. Super Admin / Platform Administration</c:v>
                </c:pt>
                <c:pt idx="9">
                  <c:v>9. Multi-Tenant Isolation &amp; Security</c:v>
                </c:pt>
                <c:pt idx="10">
                  <c:v>10. Scalability, Performance &amp; Observability</c:v>
                </c:pt>
                <c:pt idx="11">
                  <c:v>11. Infrastructure &amp; Deployment</c:v>
                </c:pt>
                <c:pt idx="12">
                  <c:v>12. Documentation</c:v>
                </c:pt>
              </c:strCache>
            </c:strRef>
          </c:cat>
          <c:val>
            <c:numRef>
              <c:f>Dashboard!$C$16:$C$28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82409775"/>
        <c:axId val="61911807"/>
      </c:barChart>
      <c:catAx>
        <c:axId val="82409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Epic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11807"/>
        <c:crosses val="autoZero"/>
        <c:auto val="1"/>
        <c:lblAlgn val="ctr"/>
        <c:lblOffset val="100"/>
        <c:noMultiLvlLbl val="0"/>
      </c:catAx>
      <c:valAx>
        <c:axId val="619118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09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Stories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Dashboard!B37</c:f>
              <c:strCache>
                <c:ptCount val="1"/>
                <c:pt idx="0">
                  <c:v>Stories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Dashboard!$A$38:$A$42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In Review</c:v>
                </c:pt>
                <c:pt idx="3">
                  <c:v>Blocked</c:v>
                </c:pt>
                <c:pt idx="4">
                  <c:v>Done</c:v>
                </c:pt>
              </c:strCache>
            </c:strRef>
          </c:cat>
          <c:val>
            <c:numRef>
              <c:f>Dashboard!$B$38:$B$42</c:f>
              <c:numCache>
                <c:formatCode>General</c:formatCode>
                <c:ptCount val="5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22</xdr:col>
      <xdr:colOff>187200</xdr:colOff>
      <xdr:row>22</xdr:row>
      <xdr:rowOff>166320</xdr:rowOff>
    </xdr:to>
    <xdr:graphicFrame>
      <xdr:nvGraphicFramePr>
        <xdr:cNvPr id="0" name="Chart 1"/>
        <xdr:cNvGraphicFramePr/>
      </xdr:nvGraphicFramePr>
      <xdr:xfrm>
        <a:off x="8599320" y="5716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130680</xdr:rowOff>
    </xdr:from>
    <xdr:to>
      <xdr:col>14</xdr:col>
      <xdr:colOff>399240</xdr:colOff>
      <xdr:row>42</xdr:row>
      <xdr:rowOff>165960</xdr:rowOff>
    </xdr:to>
    <xdr:graphicFrame>
      <xdr:nvGraphicFramePr>
        <xdr:cNvPr id="1" name="Chart 2"/>
        <xdr:cNvGraphicFramePr/>
      </xdr:nvGraphicFramePr>
      <xdr:xfrm>
        <a:off x="8599320" y="449568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42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60" hidden="false" customHeight="true" outlineLevel="0" collapsed="false">
      <c r="A2" s="3" t="s">
        <v>14</v>
      </c>
      <c r="B2" s="4" t="s">
        <v>15</v>
      </c>
      <c r="C2" s="3" t="s">
        <v>16</v>
      </c>
      <c r="D2" s="4" t="s">
        <v>17</v>
      </c>
      <c r="E2" s="4" t="s">
        <v>18</v>
      </c>
      <c r="F2" s="3" t="s">
        <v>19</v>
      </c>
      <c r="G2" s="3" t="n">
        <v>2</v>
      </c>
      <c r="H2" s="3" t="s">
        <v>20</v>
      </c>
      <c r="I2" s="5" t="s">
        <v>21</v>
      </c>
      <c r="J2" s="5"/>
      <c r="K2" s="5"/>
      <c r="L2" s="6"/>
      <c r="M2" s="6"/>
      <c r="N2" s="7"/>
    </row>
    <row r="3" customFormat="false" ht="60" hidden="false" customHeight="true" outlineLevel="0" collapsed="false">
      <c r="A3" s="8" t="s">
        <v>14</v>
      </c>
      <c r="B3" s="9" t="s">
        <v>15</v>
      </c>
      <c r="C3" s="8" t="s">
        <v>22</v>
      </c>
      <c r="D3" s="9" t="s">
        <v>23</v>
      </c>
      <c r="E3" s="9" t="s">
        <v>24</v>
      </c>
      <c r="F3" s="8" t="s">
        <v>19</v>
      </c>
      <c r="G3" s="8" t="n">
        <v>3</v>
      </c>
      <c r="H3" s="8" t="s">
        <v>20</v>
      </c>
      <c r="I3" s="5" t="s">
        <v>21</v>
      </c>
      <c r="J3" s="5"/>
      <c r="K3" s="5"/>
      <c r="L3" s="6"/>
      <c r="M3" s="6"/>
      <c r="N3" s="7"/>
    </row>
    <row r="4" customFormat="false" ht="60" hidden="false" customHeight="true" outlineLevel="0" collapsed="false">
      <c r="A4" s="3" t="s">
        <v>14</v>
      </c>
      <c r="B4" s="4" t="s">
        <v>15</v>
      </c>
      <c r="C4" s="3" t="s">
        <v>25</v>
      </c>
      <c r="D4" s="4" t="s">
        <v>26</v>
      </c>
      <c r="E4" s="4" t="s">
        <v>27</v>
      </c>
      <c r="F4" s="3" t="s">
        <v>19</v>
      </c>
      <c r="G4" s="3" t="n">
        <v>3</v>
      </c>
      <c r="H4" s="3" t="s">
        <v>20</v>
      </c>
      <c r="I4" s="5" t="s">
        <v>21</v>
      </c>
      <c r="J4" s="5"/>
      <c r="K4" s="5"/>
      <c r="L4" s="6"/>
      <c r="M4" s="6"/>
      <c r="N4" s="7"/>
    </row>
    <row r="5" customFormat="false" ht="60" hidden="false" customHeight="true" outlineLevel="0" collapsed="false">
      <c r="A5" s="8" t="s">
        <v>14</v>
      </c>
      <c r="B5" s="9" t="s">
        <v>15</v>
      </c>
      <c r="C5" s="8" t="s">
        <v>28</v>
      </c>
      <c r="D5" s="9" t="s">
        <v>29</v>
      </c>
      <c r="E5" s="9" t="s">
        <v>30</v>
      </c>
      <c r="F5" s="8" t="s">
        <v>19</v>
      </c>
      <c r="G5" s="8" t="n">
        <v>3</v>
      </c>
      <c r="H5" s="8" t="s">
        <v>20</v>
      </c>
      <c r="I5" s="5" t="s">
        <v>21</v>
      </c>
      <c r="J5" s="5"/>
      <c r="K5" s="5"/>
      <c r="L5" s="6"/>
      <c r="M5" s="6"/>
      <c r="N5" s="7"/>
    </row>
    <row r="6" customFormat="false" ht="60" hidden="false" customHeight="true" outlineLevel="0" collapsed="false">
      <c r="A6" s="3" t="s">
        <v>14</v>
      </c>
      <c r="B6" s="4" t="s">
        <v>15</v>
      </c>
      <c r="C6" s="3" t="s">
        <v>31</v>
      </c>
      <c r="D6" s="4" t="s">
        <v>32</v>
      </c>
      <c r="E6" s="4" t="s">
        <v>33</v>
      </c>
      <c r="F6" s="3" t="s">
        <v>19</v>
      </c>
      <c r="G6" s="3" t="n">
        <v>2</v>
      </c>
      <c r="H6" s="3" t="s">
        <v>20</v>
      </c>
      <c r="I6" s="5" t="s">
        <v>21</v>
      </c>
      <c r="J6" s="5"/>
      <c r="K6" s="5"/>
      <c r="L6" s="6"/>
      <c r="M6" s="6"/>
      <c r="N6" s="7"/>
    </row>
    <row r="7" customFormat="false" ht="60" hidden="false" customHeight="true" outlineLevel="0" collapsed="false">
      <c r="A7" s="8" t="s">
        <v>14</v>
      </c>
      <c r="B7" s="9" t="s">
        <v>15</v>
      </c>
      <c r="C7" s="8" t="s">
        <v>34</v>
      </c>
      <c r="D7" s="9" t="s">
        <v>35</v>
      </c>
      <c r="E7" s="9" t="s">
        <v>36</v>
      </c>
      <c r="F7" s="8" t="s">
        <v>37</v>
      </c>
      <c r="G7" s="8" t="n">
        <v>3</v>
      </c>
      <c r="H7" s="8" t="s">
        <v>20</v>
      </c>
      <c r="I7" s="5" t="s">
        <v>21</v>
      </c>
      <c r="J7" s="5"/>
      <c r="K7" s="5"/>
      <c r="L7" s="6"/>
      <c r="M7" s="6"/>
      <c r="N7" s="7"/>
    </row>
    <row r="8" customFormat="false" ht="60" hidden="false" customHeight="true" outlineLevel="0" collapsed="false">
      <c r="A8" s="3" t="s">
        <v>14</v>
      </c>
      <c r="B8" s="4" t="s">
        <v>15</v>
      </c>
      <c r="C8" s="3" t="s">
        <v>38</v>
      </c>
      <c r="D8" s="4" t="s">
        <v>39</v>
      </c>
      <c r="E8" s="4" t="s">
        <v>40</v>
      </c>
      <c r="F8" s="3" t="s">
        <v>37</v>
      </c>
      <c r="G8" s="3" t="n">
        <v>2</v>
      </c>
      <c r="H8" s="3" t="s">
        <v>20</v>
      </c>
      <c r="I8" s="5" t="s">
        <v>21</v>
      </c>
      <c r="J8" s="5"/>
      <c r="K8" s="5"/>
      <c r="L8" s="6"/>
      <c r="M8" s="6"/>
      <c r="N8" s="7"/>
    </row>
    <row r="9" customFormat="false" ht="60" hidden="false" customHeight="true" outlineLevel="0" collapsed="false">
      <c r="A9" s="8" t="s">
        <v>14</v>
      </c>
      <c r="B9" s="9" t="s">
        <v>15</v>
      </c>
      <c r="C9" s="8" t="s">
        <v>41</v>
      </c>
      <c r="D9" s="9" t="s">
        <v>42</v>
      </c>
      <c r="E9" s="9" t="s">
        <v>43</v>
      </c>
      <c r="F9" s="8" t="s">
        <v>37</v>
      </c>
      <c r="G9" s="8" t="n">
        <v>2</v>
      </c>
      <c r="H9" s="8" t="s">
        <v>20</v>
      </c>
      <c r="I9" s="5" t="s">
        <v>21</v>
      </c>
      <c r="J9" s="5"/>
      <c r="K9" s="5"/>
      <c r="L9" s="6"/>
      <c r="M9" s="6"/>
      <c r="N9" s="7"/>
    </row>
    <row r="10" customFormat="false" ht="60" hidden="false" customHeight="true" outlineLevel="0" collapsed="false">
      <c r="A10" s="3" t="s">
        <v>14</v>
      </c>
      <c r="B10" s="4" t="s">
        <v>15</v>
      </c>
      <c r="C10" s="3" t="s">
        <v>44</v>
      </c>
      <c r="D10" s="4" t="s">
        <v>45</v>
      </c>
      <c r="E10" s="4" t="s">
        <v>46</v>
      </c>
      <c r="F10" s="3" t="s">
        <v>37</v>
      </c>
      <c r="G10" s="3" t="n">
        <v>3</v>
      </c>
      <c r="H10" s="3" t="s">
        <v>20</v>
      </c>
      <c r="I10" s="5" t="s">
        <v>21</v>
      </c>
      <c r="J10" s="5"/>
      <c r="K10" s="5"/>
      <c r="L10" s="6"/>
      <c r="M10" s="6"/>
      <c r="N10" s="7"/>
    </row>
    <row r="11" customFormat="false" ht="60" hidden="false" customHeight="true" outlineLevel="0" collapsed="false">
      <c r="A11" s="8" t="s">
        <v>47</v>
      </c>
      <c r="B11" s="9" t="s">
        <v>48</v>
      </c>
      <c r="C11" s="8" t="s">
        <v>49</v>
      </c>
      <c r="D11" s="9" t="s">
        <v>50</v>
      </c>
      <c r="E11" s="9" t="s">
        <v>51</v>
      </c>
      <c r="F11" s="8" t="s">
        <v>19</v>
      </c>
      <c r="G11" s="8" t="n">
        <v>5</v>
      </c>
      <c r="H11" s="8" t="s">
        <v>20</v>
      </c>
      <c r="I11" s="5" t="s">
        <v>21</v>
      </c>
      <c r="J11" s="5"/>
      <c r="K11" s="5"/>
      <c r="L11" s="6"/>
      <c r="M11" s="6"/>
      <c r="N11" s="7"/>
    </row>
    <row r="12" customFormat="false" ht="60" hidden="false" customHeight="true" outlineLevel="0" collapsed="false">
      <c r="A12" s="3" t="s">
        <v>47</v>
      </c>
      <c r="B12" s="4" t="s">
        <v>48</v>
      </c>
      <c r="C12" s="3" t="s">
        <v>52</v>
      </c>
      <c r="D12" s="4" t="s">
        <v>53</v>
      </c>
      <c r="E12" s="4" t="s">
        <v>54</v>
      </c>
      <c r="F12" s="3" t="s">
        <v>19</v>
      </c>
      <c r="G12" s="3" t="n">
        <v>3</v>
      </c>
      <c r="H12" s="3" t="s">
        <v>20</v>
      </c>
      <c r="I12" s="5" t="s">
        <v>21</v>
      </c>
      <c r="J12" s="5"/>
      <c r="K12" s="5"/>
      <c r="L12" s="6"/>
      <c r="M12" s="6"/>
      <c r="N12" s="7"/>
    </row>
    <row r="13" customFormat="false" ht="60" hidden="false" customHeight="true" outlineLevel="0" collapsed="false">
      <c r="A13" s="8" t="s">
        <v>47</v>
      </c>
      <c r="B13" s="9" t="s">
        <v>48</v>
      </c>
      <c r="C13" s="8" t="s">
        <v>55</v>
      </c>
      <c r="D13" s="9" t="s">
        <v>56</v>
      </c>
      <c r="E13" s="9" t="s">
        <v>57</v>
      </c>
      <c r="F13" s="8" t="s">
        <v>37</v>
      </c>
      <c r="G13" s="8" t="n">
        <v>5</v>
      </c>
      <c r="H13" s="8" t="s">
        <v>20</v>
      </c>
      <c r="I13" s="5" t="s">
        <v>21</v>
      </c>
      <c r="J13" s="5"/>
      <c r="K13" s="5"/>
      <c r="L13" s="6"/>
      <c r="M13" s="6"/>
      <c r="N13" s="7"/>
    </row>
    <row r="14" customFormat="false" ht="60" hidden="false" customHeight="true" outlineLevel="0" collapsed="false">
      <c r="A14" s="3" t="s">
        <v>47</v>
      </c>
      <c r="B14" s="4" t="s">
        <v>48</v>
      </c>
      <c r="C14" s="3" t="s">
        <v>58</v>
      </c>
      <c r="D14" s="4" t="s">
        <v>59</v>
      </c>
      <c r="E14" s="4" t="s">
        <v>60</v>
      </c>
      <c r="F14" s="3" t="s">
        <v>37</v>
      </c>
      <c r="G14" s="3" t="n">
        <v>5</v>
      </c>
      <c r="H14" s="3" t="s">
        <v>20</v>
      </c>
      <c r="I14" s="5" t="s">
        <v>21</v>
      </c>
      <c r="J14" s="5"/>
      <c r="K14" s="5"/>
      <c r="L14" s="6"/>
      <c r="M14" s="6"/>
      <c r="N14" s="7"/>
    </row>
    <row r="15" customFormat="false" ht="60" hidden="false" customHeight="true" outlineLevel="0" collapsed="false">
      <c r="A15" s="8" t="s">
        <v>61</v>
      </c>
      <c r="B15" s="9" t="s">
        <v>62</v>
      </c>
      <c r="C15" s="8" t="s">
        <v>63</v>
      </c>
      <c r="D15" s="9" t="s">
        <v>64</v>
      </c>
      <c r="E15" s="9" t="s">
        <v>65</v>
      </c>
      <c r="F15" s="8" t="s">
        <v>19</v>
      </c>
      <c r="G15" s="8" t="n">
        <v>8</v>
      </c>
      <c r="H15" s="8" t="s">
        <v>20</v>
      </c>
      <c r="I15" s="5" t="s">
        <v>21</v>
      </c>
      <c r="J15" s="5"/>
      <c r="K15" s="5"/>
      <c r="L15" s="6"/>
      <c r="M15" s="6"/>
      <c r="N15" s="7"/>
    </row>
    <row r="16" customFormat="false" ht="60" hidden="false" customHeight="true" outlineLevel="0" collapsed="false">
      <c r="A16" s="3" t="s">
        <v>61</v>
      </c>
      <c r="B16" s="4" t="s">
        <v>62</v>
      </c>
      <c r="C16" s="3" t="s">
        <v>66</v>
      </c>
      <c r="D16" s="4" t="s">
        <v>67</v>
      </c>
      <c r="E16" s="4" t="s">
        <v>68</v>
      </c>
      <c r="F16" s="3" t="s">
        <v>37</v>
      </c>
      <c r="G16" s="3" t="n">
        <v>8</v>
      </c>
      <c r="H16" s="3" t="s">
        <v>20</v>
      </c>
      <c r="I16" s="5" t="s">
        <v>21</v>
      </c>
      <c r="J16" s="5"/>
      <c r="K16" s="5"/>
      <c r="L16" s="6"/>
      <c r="M16" s="6"/>
      <c r="N16" s="7"/>
    </row>
    <row r="17" customFormat="false" ht="60" hidden="false" customHeight="true" outlineLevel="0" collapsed="false">
      <c r="A17" s="8" t="s">
        <v>61</v>
      </c>
      <c r="B17" s="9" t="s">
        <v>62</v>
      </c>
      <c r="C17" s="8" t="s">
        <v>69</v>
      </c>
      <c r="D17" s="9" t="s">
        <v>70</v>
      </c>
      <c r="E17" s="9" t="s">
        <v>71</v>
      </c>
      <c r="F17" s="8" t="s">
        <v>72</v>
      </c>
      <c r="G17" s="8" t="n">
        <v>3</v>
      </c>
      <c r="H17" s="8" t="s">
        <v>20</v>
      </c>
      <c r="I17" s="5" t="s">
        <v>21</v>
      </c>
      <c r="J17" s="5"/>
      <c r="K17" s="5"/>
      <c r="L17" s="6"/>
      <c r="M17" s="6"/>
      <c r="N17" s="7"/>
    </row>
    <row r="18" customFormat="false" ht="60" hidden="false" customHeight="true" outlineLevel="0" collapsed="false">
      <c r="A18" s="3" t="s">
        <v>61</v>
      </c>
      <c r="B18" s="4" t="s">
        <v>62</v>
      </c>
      <c r="C18" s="3" t="s">
        <v>73</v>
      </c>
      <c r="D18" s="4" t="s">
        <v>74</v>
      </c>
      <c r="E18" s="4" t="s">
        <v>75</v>
      </c>
      <c r="F18" s="3" t="s">
        <v>19</v>
      </c>
      <c r="G18" s="3" t="n">
        <v>13</v>
      </c>
      <c r="H18" s="3" t="s">
        <v>20</v>
      </c>
      <c r="I18" s="5" t="s">
        <v>21</v>
      </c>
      <c r="J18" s="5"/>
      <c r="K18" s="5"/>
      <c r="L18" s="6"/>
      <c r="M18" s="6"/>
      <c r="N18" s="7"/>
    </row>
    <row r="19" customFormat="false" ht="60" hidden="false" customHeight="true" outlineLevel="0" collapsed="false">
      <c r="A19" s="8" t="s">
        <v>61</v>
      </c>
      <c r="B19" s="9" t="s">
        <v>62</v>
      </c>
      <c r="C19" s="8" t="s">
        <v>76</v>
      </c>
      <c r="D19" s="9" t="s">
        <v>77</v>
      </c>
      <c r="E19" s="9" t="s">
        <v>78</v>
      </c>
      <c r="F19" s="8" t="s">
        <v>19</v>
      </c>
      <c r="G19" s="8" t="n">
        <v>13</v>
      </c>
      <c r="H19" s="8" t="s">
        <v>20</v>
      </c>
      <c r="I19" s="5" t="s">
        <v>21</v>
      </c>
      <c r="J19" s="5"/>
      <c r="K19" s="5"/>
      <c r="L19" s="6"/>
      <c r="M19" s="6"/>
      <c r="N19" s="7"/>
    </row>
    <row r="20" customFormat="false" ht="60" hidden="false" customHeight="true" outlineLevel="0" collapsed="false">
      <c r="A20" s="3" t="s">
        <v>61</v>
      </c>
      <c r="B20" s="4" t="s">
        <v>62</v>
      </c>
      <c r="C20" s="3" t="s">
        <v>79</v>
      </c>
      <c r="D20" s="4" t="s">
        <v>80</v>
      </c>
      <c r="E20" s="4" t="s">
        <v>81</v>
      </c>
      <c r="F20" s="3" t="s">
        <v>19</v>
      </c>
      <c r="G20" s="3" t="n">
        <v>5</v>
      </c>
      <c r="H20" s="3" t="s">
        <v>20</v>
      </c>
      <c r="I20" s="5" t="s">
        <v>21</v>
      </c>
      <c r="J20" s="5"/>
      <c r="K20" s="5"/>
      <c r="L20" s="6"/>
      <c r="M20" s="6"/>
      <c r="N20" s="7"/>
    </row>
    <row r="21" customFormat="false" ht="60" hidden="false" customHeight="true" outlineLevel="0" collapsed="false">
      <c r="A21" s="8" t="s">
        <v>61</v>
      </c>
      <c r="B21" s="9" t="s">
        <v>62</v>
      </c>
      <c r="C21" s="8" t="s">
        <v>82</v>
      </c>
      <c r="D21" s="9" t="s">
        <v>83</v>
      </c>
      <c r="E21" s="9" t="s">
        <v>84</v>
      </c>
      <c r="F21" s="8" t="s">
        <v>19</v>
      </c>
      <c r="G21" s="8" t="n">
        <v>5</v>
      </c>
      <c r="H21" s="8" t="s">
        <v>20</v>
      </c>
      <c r="I21" s="5" t="s">
        <v>21</v>
      </c>
      <c r="J21" s="5"/>
      <c r="K21" s="5"/>
      <c r="L21" s="6"/>
      <c r="M21" s="6"/>
      <c r="N21" s="7"/>
    </row>
    <row r="22" customFormat="false" ht="60" hidden="false" customHeight="true" outlineLevel="0" collapsed="false">
      <c r="A22" s="3" t="s">
        <v>61</v>
      </c>
      <c r="B22" s="4" t="s">
        <v>62</v>
      </c>
      <c r="C22" s="3" t="s">
        <v>85</v>
      </c>
      <c r="D22" s="4" t="s">
        <v>86</v>
      </c>
      <c r="E22" s="4" t="s">
        <v>87</v>
      </c>
      <c r="F22" s="3" t="s">
        <v>37</v>
      </c>
      <c r="G22" s="3" t="n">
        <v>3</v>
      </c>
      <c r="H22" s="3" t="s">
        <v>20</v>
      </c>
      <c r="I22" s="5" t="s">
        <v>21</v>
      </c>
      <c r="J22" s="5"/>
      <c r="K22" s="5"/>
      <c r="L22" s="6"/>
      <c r="M22" s="6"/>
      <c r="N22" s="7"/>
    </row>
    <row r="23" customFormat="false" ht="60" hidden="false" customHeight="true" outlineLevel="0" collapsed="false">
      <c r="A23" s="8" t="s">
        <v>88</v>
      </c>
      <c r="B23" s="9" t="s">
        <v>89</v>
      </c>
      <c r="C23" s="8" t="s">
        <v>90</v>
      </c>
      <c r="D23" s="9" t="s">
        <v>91</v>
      </c>
      <c r="E23" s="9" t="s">
        <v>92</v>
      </c>
      <c r="F23" s="8" t="s">
        <v>37</v>
      </c>
      <c r="G23" s="8" t="n">
        <v>3</v>
      </c>
      <c r="H23" s="8" t="s">
        <v>93</v>
      </c>
      <c r="I23" s="5" t="s">
        <v>21</v>
      </c>
      <c r="J23" s="5"/>
      <c r="K23" s="5"/>
      <c r="L23" s="6"/>
      <c r="M23" s="6"/>
      <c r="N23" s="7"/>
    </row>
    <row r="24" customFormat="false" ht="60" hidden="false" customHeight="true" outlineLevel="0" collapsed="false">
      <c r="A24" s="3" t="s">
        <v>88</v>
      </c>
      <c r="B24" s="4" t="s">
        <v>89</v>
      </c>
      <c r="C24" s="3" t="s">
        <v>94</v>
      </c>
      <c r="D24" s="4" t="s">
        <v>95</v>
      </c>
      <c r="E24" s="4" t="s">
        <v>96</v>
      </c>
      <c r="F24" s="3" t="s">
        <v>37</v>
      </c>
      <c r="G24" s="3" t="n">
        <v>5</v>
      </c>
      <c r="H24" s="3" t="s">
        <v>93</v>
      </c>
      <c r="I24" s="5" t="s">
        <v>21</v>
      </c>
      <c r="J24" s="5"/>
      <c r="K24" s="5"/>
      <c r="L24" s="6"/>
      <c r="M24" s="6"/>
      <c r="N24" s="7"/>
    </row>
    <row r="25" customFormat="false" ht="60" hidden="false" customHeight="true" outlineLevel="0" collapsed="false">
      <c r="A25" s="8" t="s">
        <v>88</v>
      </c>
      <c r="B25" s="9" t="s">
        <v>89</v>
      </c>
      <c r="C25" s="8" t="s">
        <v>97</v>
      </c>
      <c r="D25" s="9" t="s">
        <v>98</v>
      </c>
      <c r="E25" s="9" t="s">
        <v>99</v>
      </c>
      <c r="F25" s="8" t="s">
        <v>72</v>
      </c>
      <c r="G25" s="8" t="n">
        <v>8</v>
      </c>
      <c r="H25" s="8" t="s">
        <v>93</v>
      </c>
      <c r="I25" s="5" t="s">
        <v>21</v>
      </c>
      <c r="J25" s="5"/>
      <c r="K25" s="5"/>
      <c r="L25" s="6"/>
      <c r="M25" s="6"/>
      <c r="N25" s="7"/>
    </row>
    <row r="26" customFormat="false" ht="60" hidden="false" customHeight="true" outlineLevel="0" collapsed="false">
      <c r="A26" s="3" t="s">
        <v>88</v>
      </c>
      <c r="B26" s="4" t="s">
        <v>89</v>
      </c>
      <c r="C26" s="3" t="s">
        <v>100</v>
      </c>
      <c r="D26" s="4" t="s">
        <v>101</v>
      </c>
      <c r="E26" s="4" t="s">
        <v>102</v>
      </c>
      <c r="F26" s="3" t="s">
        <v>19</v>
      </c>
      <c r="G26" s="3" t="n">
        <v>8</v>
      </c>
      <c r="H26" s="3" t="s">
        <v>93</v>
      </c>
      <c r="I26" s="5" t="s">
        <v>21</v>
      </c>
      <c r="J26" s="5"/>
      <c r="K26" s="5"/>
      <c r="L26" s="6"/>
      <c r="M26" s="6"/>
      <c r="N26" s="7"/>
    </row>
    <row r="27" customFormat="false" ht="60" hidden="false" customHeight="true" outlineLevel="0" collapsed="false">
      <c r="A27" s="8" t="s">
        <v>103</v>
      </c>
      <c r="B27" s="9" t="s">
        <v>104</v>
      </c>
      <c r="C27" s="8" t="s">
        <v>105</v>
      </c>
      <c r="D27" s="9" t="s">
        <v>106</v>
      </c>
      <c r="E27" s="9" t="s">
        <v>107</v>
      </c>
      <c r="F27" s="8" t="s">
        <v>19</v>
      </c>
      <c r="G27" s="8" t="n">
        <v>13</v>
      </c>
      <c r="H27" s="8" t="s">
        <v>20</v>
      </c>
      <c r="I27" s="5" t="s">
        <v>21</v>
      </c>
      <c r="J27" s="5"/>
      <c r="K27" s="5"/>
      <c r="L27" s="6"/>
      <c r="M27" s="6"/>
      <c r="N27" s="7"/>
    </row>
    <row r="28" customFormat="false" ht="60" hidden="false" customHeight="true" outlineLevel="0" collapsed="false">
      <c r="A28" s="3" t="s">
        <v>103</v>
      </c>
      <c r="B28" s="4" t="s">
        <v>104</v>
      </c>
      <c r="C28" s="3" t="s">
        <v>108</v>
      </c>
      <c r="D28" s="4" t="s">
        <v>109</v>
      </c>
      <c r="E28" s="4" t="s">
        <v>110</v>
      </c>
      <c r="F28" s="3" t="s">
        <v>19</v>
      </c>
      <c r="G28" s="3" t="n">
        <v>8</v>
      </c>
      <c r="H28" s="3" t="s">
        <v>20</v>
      </c>
      <c r="I28" s="5" t="s">
        <v>21</v>
      </c>
      <c r="J28" s="5"/>
      <c r="K28" s="5"/>
      <c r="L28" s="6"/>
      <c r="M28" s="6"/>
      <c r="N28" s="7"/>
    </row>
    <row r="29" customFormat="false" ht="60" hidden="false" customHeight="true" outlineLevel="0" collapsed="false">
      <c r="A29" s="8" t="s">
        <v>103</v>
      </c>
      <c r="B29" s="9" t="s">
        <v>104</v>
      </c>
      <c r="C29" s="8" t="s">
        <v>111</v>
      </c>
      <c r="D29" s="9" t="s">
        <v>112</v>
      </c>
      <c r="E29" s="9" t="s">
        <v>113</v>
      </c>
      <c r="F29" s="8" t="s">
        <v>37</v>
      </c>
      <c r="G29" s="8" t="n">
        <v>8</v>
      </c>
      <c r="H29" s="8" t="s">
        <v>20</v>
      </c>
      <c r="I29" s="5" t="s">
        <v>21</v>
      </c>
      <c r="J29" s="5"/>
      <c r="K29" s="5"/>
      <c r="L29" s="6"/>
      <c r="M29" s="6"/>
      <c r="N29" s="7"/>
    </row>
    <row r="30" customFormat="false" ht="60" hidden="false" customHeight="true" outlineLevel="0" collapsed="false">
      <c r="A30" s="3" t="s">
        <v>103</v>
      </c>
      <c r="B30" s="4" t="s">
        <v>104</v>
      </c>
      <c r="C30" s="3" t="s">
        <v>114</v>
      </c>
      <c r="D30" s="4" t="s">
        <v>115</v>
      </c>
      <c r="E30" s="4" t="s">
        <v>116</v>
      </c>
      <c r="F30" s="3" t="s">
        <v>19</v>
      </c>
      <c r="G30" s="3" t="n">
        <v>5</v>
      </c>
      <c r="H30" s="3" t="s">
        <v>20</v>
      </c>
      <c r="I30" s="5" t="s">
        <v>21</v>
      </c>
      <c r="J30" s="5"/>
      <c r="K30" s="5"/>
      <c r="L30" s="6"/>
      <c r="M30" s="6"/>
      <c r="N30" s="7"/>
    </row>
    <row r="31" customFormat="false" ht="60" hidden="false" customHeight="true" outlineLevel="0" collapsed="false">
      <c r="A31" s="8" t="s">
        <v>103</v>
      </c>
      <c r="B31" s="9" t="s">
        <v>104</v>
      </c>
      <c r="C31" s="8" t="s">
        <v>117</v>
      </c>
      <c r="D31" s="9" t="s">
        <v>118</v>
      </c>
      <c r="E31" s="9" t="s">
        <v>119</v>
      </c>
      <c r="F31" s="8" t="s">
        <v>19</v>
      </c>
      <c r="G31" s="8" t="n">
        <v>8</v>
      </c>
      <c r="H31" s="8" t="s">
        <v>20</v>
      </c>
      <c r="I31" s="5" t="s">
        <v>21</v>
      </c>
      <c r="J31" s="5"/>
      <c r="K31" s="5"/>
      <c r="L31" s="6"/>
      <c r="M31" s="6"/>
      <c r="N31" s="7"/>
    </row>
    <row r="32" customFormat="false" ht="60" hidden="false" customHeight="true" outlineLevel="0" collapsed="false">
      <c r="A32" s="3" t="s">
        <v>103</v>
      </c>
      <c r="B32" s="4" t="s">
        <v>104</v>
      </c>
      <c r="C32" s="3" t="s">
        <v>120</v>
      </c>
      <c r="D32" s="4" t="s">
        <v>121</v>
      </c>
      <c r="E32" s="4" t="s">
        <v>122</v>
      </c>
      <c r="F32" s="3" t="s">
        <v>37</v>
      </c>
      <c r="G32" s="3" t="n">
        <v>5</v>
      </c>
      <c r="H32" s="3" t="s">
        <v>20</v>
      </c>
      <c r="I32" s="5" t="s">
        <v>21</v>
      </c>
      <c r="J32" s="5"/>
      <c r="K32" s="5"/>
      <c r="L32" s="6"/>
      <c r="M32" s="6"/>
      <c r="N32" s="7"/>
    </row>
    <row r="33" customFormat="false" ht="60" hidden="false" customHeight="true" outlineLevel="0" collapsed="false">
      <c r="A33" s="8" t="s">
        <v>103</v>
      </c>
      <c r="B33" s="9" t="s">
        <v>104</v>
      </c>
      <c r="C33" s="8" t="s">
        <v>123</v>
      </c>
      <c r="D33" s="9" t="s">
        <v>124</v>
      </c>
      <c r="E33" s="9" t="s">
        <v>125</v>
      </c>
      <c r="F33" s="8" t="s">
        <v>72</v>
      </c>
      <c r="G33" s="8" t="n">
        <v>8</v>
      </c>
      <c r="H33" s="8" t="s">
        <v>20</v>
      </c>
      <c r="I33" s="5" t="s">
        <v>21</v>
      </c>
      <c r="J33" s="5"/>
      <c r="K33" s="5"/>
      <c r="L33" s="6"/>
      <c r="M33" s="6"/>
      <c r="N33" s="7"/>
    </row>
    <row r="34" customFormat="false" ht="60" hidden="false" customHeight="true" outlineLevel="0" collapsed="false">
      <c r="A34" s="3" t="s">
        <v>126</v>
      </c>
      <c r="B34" s="4" t="s">
        <v>127</v>
      </c>
      <c r="C34" s="3" t="s">
        <v>128</v>
      </c>
      <c r="D34" s="4" t="s">
        <v>129</v>
      </c>
      <c r="E34" s="4" t="s">
        <v>130</v>
      </c>
      <c r="F34" s="3" t="s">
        <v>19</v>
      </c>
      <c r="G34" s="3" t="n">
        <v>8</v>
      </c>
      <c r="H34" s="3" t="s">
        <v>93</v>
      </c>
      <c r="I34" s="5" t="s">
        <v>21</v>
      </c>
      <c r="J34" s="5"/>
      <c r="K34" s="5"/>
      <c r="L34" s="6"/>
      <c r="M34" s="6"/>
      <c r="N34" s="7"/>
    </row>
    <row r="35" customFormat="false" ht="60" hidden="false" customHeight="true" outlineLevel="0" collapsed="false">
      <c r="A35" s="8" t="s">
        <v>126</v>
      </c>
      <c r="B35" s="9" t="s">
        <v>127</v>
      </c>
      <c r="C35" s="8" t="s">
        <v>131</v>
      </c>
      <c r="D35" s="9" t="s">
        <v>132</v>
      </c>
      <c r="E35" s="9" t="s">
        <v>133</v>
      </c>
      <c r="F35" s="8" t="s">
        <v>37</v>
      </c>
      <c r="G35" s="8" t="n">
        <v>5</v>
      </c>
      <c r="H35" s="8" t="s">
        <v>93</v>
      </c>
      <c r="I35" s="5" t="s">
        <v>21</v>
      </c>
      <c r="J35" s="5"/>
      <c r="K35" s="5"/>
      <c r="L35" s="6"/>
      <c r="M35" s="6"/>
      <c r="N35" s="7"/>
    </row>
    <row r="36" customFormat="false" ht="60" hidden="false" customHeight="true" outlineLevel="0" collapsed="false">
      <c r="A36" s="3" t="s">
        <v>126</v>
      </c>
      <c r="B36" s="4" t="s">
        <v>127</v>
      </c>
      <c r="C36" s="3" t="s">
        <v>134</v>
      </c>
      <c r="D36" s="4" t="s">
        <v>135</v>
      </c>
      <c r="E36" s="4" t="s">
        <v>136</v>
      </c>
      <c r="F36" s="3" t="s">
        <v>19</v>
      </c>
      <c r="G36" s="3" t="n">
        <v>8</v>
      </c>
      <c r="H36" s="3" t="s">
        <v>93</v>
      </c>
      <c r="I36" s="5" t="s">
        <v>21</v>
      </c>
      <c r="J36" s="5"/>
      <c r="K36" s="5"/>
      <c r="L36" s="6"/>
      <c r="M36" s="6"/>
      <c r="N36" s="7"/>
    </row>
    <row r="37" customFormat="false" ht="60" hidden="false" customHeight="true" outlineLevel="0" collapsed="false">
      <c r="A37" s="8" t="s">
        <v>126</v>
      </c>
      <c r="B37" s="9" t="s">
        <v>127</v>
      </c>
      <c r="C37" s="8" t="s">
        <v>137</v>
      </c>
      <c r="D37" s="9" t="s">
        <v>138</v>
      </c>
      <c r="E37" s="9" t="s">
        <v>139</v>
      </c>
      <c r="F37" s="8" t="s">
        <v>19</v>
      </c>
      <c r="G37" s="8" t="n">
        <v>5</v>
      </c>
      <c r="H37" s="8" t="s">
        <v>93</v>
      </c>
      <c r="I37" s="5" t="s">
        <v>21</v>
      </c>
      <c r="J37" s="5"/>
      <c r="K37" s="5"/>
      <c r="L37" s="6"/>
      <c r="M37" s="6"/>
      <c r="N37" s="7"/>
    </row>
    <row r="38" customFormat="false" ht="60" hidden="false" customHeight="true" outlineLevel="0" collapsed="false">
      <c r="A38" s="3" t="s">
        <v>140</v>
      </c>
      <c r="B38" s="4" t="s">
        <v>141</v>
      </c>
      <c r="C38" s="3" t="s">
        <v>142</v>
      </c>
      <c r="D38" s="4" t="s">
        <v>143</v>
      </c>
      <c r="E38" s="4" t="s">
        <v>144</v>
      </c>
      <c r="F38" s="3" t="s">
        <v>37</v>
      </c>
      <c r="G38" s="3" t="n">
        <v>8</v>
      </c>
      <c r="H38" s="3" t="s">
        <v>93</v>
      </c>
      <c r="I38" s="5" t="s">
        <v>21</v>
      </c>
      <c r="J38" s="5"/>
      <c r="K38" s="5"/>
      <c r="L38" s="6"/>
      <c r="M38" s="6"/>
      <c r="N38" s="7"/>
    </row>
    <row r="39" customFormat="false" ht="60" hidden="false" customHeight="true" outlineLevel="0" collapsed="false">
      <c r="A39" s="8" t="s">
        <v>140</v>
      </c>
      <c r="B39" s="9" t="s">
        <v>141</v>
      </c>
      <c r="C39" s="8" t="s">
        <v>145</v>
      </c>
      <c r="D39" s="9" t="s">
        <v>146</v>
      </c>
      <c r="E39" s="9" t="s">
        <v>147</v>
      </c>
      <c r="F39" s="8" t="s">
        <v>19</v>
      </c>
      <c r="G39" s="8" t="n">
        <v>8</v>
      </c>
      <c r="H39" s="8" t="s">
        <v>93</v>
      </c>
      <c r="I39" s="5" t="s">
        <v>21</v>
      </c>
      <c r="J39" s="5"/>
      <c r="K39" s="5"/>
      <c r="L39" s="6"/>
      <c r="M39" s="6"/>
      <c r="N39" s="7"/>
    </row>
    <row r="40" customFormat="false" ht="60" hidden="false" customHeight="true" outlineLevel="0" collapsed="false">
      <c r="A40" s="3" t="s">
        <v>140</v>
      </c>
      <c r="B40" s="4" t="s">
        <v>141</v>
      </c>
      <c r="C40" s="3" t="s">
        <v>148</v>
      </c>
      <c r="D40" s="4" t="s">
        <v>149</v>
      </c>
      <c r="E40" s="4" t="s">
        <v>150</v>
      </c>
      <c r="F40" s="3" t="s">
        <v>37</v>
      </c>
      <c r="G40" s="3" t="n">
        <v>5</v>
      </c>
      <c r="H40" s="3" t="s">
        <v>93</v>
      </c>
      <c r="I40" s="5" t="s">
        <v>21</v>
      </c>
      <c r="J40" s="5"/>
      <c r="K40" s="5"/>
      <c r="L40" s="6"/>
      <c r="M40" s="6"/>
      <c r="N40" s="7"/>
    </row>
    <row r="41" customFormat="false" ht="60" hidden="false" customHeight="true" outlineLevel="0" collapsed="false">
      <c r="A41" s="8" t="s">
        <v>151</v>
      </c>
      <c r="B41" s="9" t="s">
        <v>152</v>
      </c>
      <c r="C41" s="8" t="s">
        <v>153</v>
      </c>
      <c r="D41" s="9" t="s">
        <v>154</v>
      </c>
      <c r="E41" s="9" t="s">
        <v>155</v>
      </c>
      <c r="F41" s="8" t="s">
        <v>72</v>
      </c>
      <c r="G41" s="8" t="n">
        <v>5</v>
      </c>
      <c r="H41" s="8" t="s">
        <v>156</v>
      </c>
      <c r="I41" s="5" t="s">
        <v>21</v>
      </c>
      <c r="J41" s="5"/>
      <c r="K41" s="5"/>
      <c r="L41" s="6"/>
      <c r="M41" s="6"/>
      <c r="N41" s="7"/>
    </row>
    <row r="42" customFormat="false" ht="60" hidden="false" customHeight="true" outlineLevel="0" collapsed="false">
      <c r="A42" s="3" t="s">
        <v>151</v>
      </c>
      <c r="B42" s="4" t="s">
        <v>152</v>
      </c>
      <c r="C42" s="3" t="s">
        <v>157</v>
      </c>
      <c r="D42" s="4" t="s">
        <v>158</v>
      </c>
      <c r="E42" s="4" t="s">
        <v>159</v>
      </c>
      <c r="F42" s="3" t="s">
        <v>37</v>
      </c>
      <c r="G42" s="3" t="n">
        <v>8</v>
      </c>
      <c r="H42" s="3" t="s">
        <v>156</v>
      </c>
      <c r="I42" s="5" t="s">
        <v>21</v>
      </c>
      <c r="J42" s="5"/>
      <c r="K42" s="5"/>
      <c r="L42" s="6"/>
      <c r="M42" s="6"/>
      <c r="N42" s="7"/>
    </row>
    <row r="43" customFormat="false" ht="60" hidden="false" customHeight="true" outlineLevel="0" collapsed="false">
      <c r="A43" s="8" t="s">
        <v>160</v>
      </c>
      <c r="B43" s="9" t="s">
        <v>161</v>
      </c>
      <c r="C43" s="8" t="s">
        <v>162</v>
      </c>
      <c r="D43" s="9" t="s">
        <v>163</v>
      </c>
      <c r="E43" s="9" t="s">
        <v>164</v>
      </c>
      <c r="F43" s="8" t="s">
        <v>19</v>
      </c>
      <c r="G43" s="8" t="n">
        <v>8</v>
      </c>
      <c r="H43" s="8" t="s">
        <v>156</v>
      </c>
      <c r="I43" s="5" t="s">
        <v>21</v>
      </c>
      <c r="J43" s="5"/>
      <c r="K43" s="5"/>
      <c r="L43" s="6"/>
      <c r="M43" s="6"/>
      <c r="N43" s="7"/>
    </row>
    <row r="44" customFormat="false" ht="60" hidden="false" customHeight="true" outlineLevel="0" collapsed="false">
      <c r="A44" s="3" t="s">
        <v>160</v>
      </c>
      <c r="B44" s="4" t="s">
        <v>161</v>
      </c>
      <c r="C44" s="3" t="s">
        <v>165</v>
      </c>
      <c r="D44" s="4" t="s">
        <v>166</v>
      </c>
      <c r="E44" s="4" t="s">
        <v>167</v>
      </c>
      <c r="F44" s="3" t="s">
        <v>37</v>
      </c>
      <c r="G44" s="3" t="n">
        <v>8</v>
      </c>
      <c r="H44" s="3" t="s">
        <v>156</v>
      </c>
      <c r="I44" s="5" t="s">
        <v>21</v>
      </c>
      <c r="J44" s="5"/>
      <c r="K44" s="5"/>
      <c r="L44" s="6"/>
      <c r="M44" s="6"/>
      <c r="N44" s="7"/>
    </row>
    <row r="45" customFormat="false" ht="60" hidden="false" customHeight="true" outlineLevel="0" collapsed="false">
      <c r="A45" s="8" t="s">
        <v>160</v>
      </c>
      <c r="B45" s="9" t="s">
        <v>161</v>
      </c>
      <c r="C45" s="8" t="s">
        <v>168</v>
      </c>
      <c r="D45" s="9" t="s">
        <v>169</v>
      </c>
      <c r="E45" s="9" t="s">
        <v>170</v>
      </c>
      <c r="F45" s="8" t="s">
        <v>37</v>
      </c>
      <c r="G45" s="8" t="n">
        <v>5</v>
      </c>
      <c r="H45" s="8" t="s">
        <v>156</v>
      </c>
      <c r="I45" s="5" t="s">
        <v>21</v>
      </c>
      <c r="J45" s="5"/>
      <c r="K45" s="5"/>
      <c r="L45" s="6"/>
      <c r="M45" s="6"/>
      <c r="N45" s="7"/>
    </row>
    <row r="46" customFormat="false" ht="60" hidden="false" customHeight="true" outlineLevel="0" collapsed="false">
      <c r="A46" s="3" t="s">
        <v>171</v>
      </c>
      <c r="B46" s="4" t="s">
        <v>172</v>
      </c>
      <c r="C46" s="3" t="s">
        <v>173</v>
      </c>
      <c r="D46" s="4" t="s">
        <v>174</v>
      </c>
      <c r="E46" s="4" t="s">
        <v>175</v>
      </c>
      <c r="F46" s="3" t="s">
        <v>19</v>
      </c>
      <c r="G46" s="3" t="n">
        <v>13</v>
      </c>
      <c r="H46" s="3" t="s">
        <v>20</v>
      </c>
      <c r="I46" s="5" t="s">
        <v>21</v>
      </c>
      <c r="J46" s="5"/>
      <c r="K46" s="5"/>
      <c r="L46" s="6"/>
      <c r="M46" s="6"/>
      <c r="N46" s="7"/>
    </row>
    <row r="47" customFormat="false" ht="60" hidden="false" customHeight="true" outlineLevel="0" collapsed="false">
      <c r="A47" s="8" t="s">
        <v>171</v>
      </c>
      <c r="B47" s="9" t="s">
        <v>172</v>
      </c>
      <c r="C47" s="8" t="s">
        <v>176</v>
      </c>
      <c r="D47" s="9" t="s">
        <v>177</v>
      </c>
      <c r="E47" s="9" t="s">
        <v>178</v>
      </c>
      <c r="F47" s="8" t="s">
        <v>19</v>
      </c>
      <c r="G47" s="8" t="n">
        <v>8</v>
      </c>
      <c r="H47" s="8" t="s">
        <v>20</v>
      </c>
      <c r="I47" s="5" t="s">
        <v>21</v>
      </c>
      <c r="J47" s="5"/>
      <c r="K47" s="5"/>
      <c r="L47" s="6"/>
      <c r="M47" s="6"/>
      <c r="N47" s="7"/>
    </row>
    <row r="48" customFormat="false" ht="60" hidden="false" customHeight="true" outlineLevel="0" collapsed="false">
      <c r="A48" s="3" t="s">
        <v>171</v>
      </c>
      <c r="B48" s="4" t="s">
        <v>172</v>
      </c>
      <c r="C48" s="3" t="s">
        <v>179</v>
      </c>
      <c r="D48" s="4" t="s">
        <v>180</v>
      </c>
      <c r="E48" s="4" t="s">
        <v>181</v>
      </c>
      <c r="F48" s="3" t="s">
        <v>19</v>
      </c>
      <c r="G48" s="3" t="n">
        <v>8</v>
      </c>
      <c r="H48" s="3" t="s">
        <v>20</v>
      </c>
      <c r="I48" s="5" t="s">
        <v>21</v>
      </c>
      <c r="J48" s="5"/>
      <c r="K48" s="5"/>
      <c r="L48" s="6"/>
      <c r="M48" s="6"/>
      <c r="N48" s="7"/>
    </row>
    <row r="49" customFormat="false" ht="60" hidden="false" customHeight="true" outlineLevel="0" collapsed="false">
      <c r="A49" s="8" t="s">
        <v>182</v>
      </c>
      <c r="B49" s="9" t="s">
        <v>183</v>
      </c>
      <c r="C49" s="8" t="s">
        <v>184</v>
      </c>
      <c r="D49" s="9" t="s">
        <v>185</v>
      </c>
      <c r="E49" s="9" t="s">
        <v>186</v>
      </c>
      <c r="F49" s="8" t="s">
        <v>37</v>
      </c>
      <c r="G49" s="8" t="n">
        <v>13</v>
      </c>
      <c r="H49" s="8" t="s">
        <v>156</v>
      </c>
      <c r="I49" s="5" t="s">
        <v>21</v>
      </c>
      <c r="J49" s="5"/>
      <c r="K49" s="5"/>
      <c r="L49" s="6"/>
      <c r="M49" s="6"/>
      <c r="N49" s="7"/>
    </row>
    <row r="50" customFormat="false" ht="60" hidden="false" customHeight="true" outlineLevel="0" collapsed="false">
      <c r="A50" s="3" t="s">
        <v>182</v>
      </c>
      <c r="B50" s="4" t="s">
        <v>183</v>
      </c>
      <c r="C50" s="3" t="s">
        <v>187</v>
      </c>
      <c r="D50" s="4" t="s">
        <v>188</v>
      </c>
      <c r="E50" s="4" t="s">
        <v>189</v>
      </c>
      <c r="F50" s="3" t="s">
        <v>19</v>
      </c>
      <c r="G50" s="3" t="n">
        <v>8</v>
      </c>
      <c r="H50" s="3" t="s">
        <v>156</v>
      </c>
      <c r="I50" s="5" t="s">
        <v>21</v>
      </c>
      <c r="J50" s="5"/>
      <c r="K50" s="5"/>
      <c r="L50" s="6"/>
      <c r="M50" s="6"/>
      <c r="N50" s="7"/>
    </row>
    <row r="51" customFormat="false" ht="60" hidden="false" customHeight="true" outlineLevel="0" collapsed="false">
      <c r="A51" s="8" t="s">
        <v>182</v>
      </c>
      <c r="B51" s="9" t="s">
        <v>183</v>
      </c>
      <c r="C51" s="8" t="s">
        <v>190</v>
      </c>
      <c r="D51" s="9" t="s">
        <v>191</v>
      </c>
      <c r="E51" s="9" t="s">
        <v>192</v>
      </c>
      <c r="F51" s="8" t="s">
        <v>19</v>
      </c>
      <c r="G51" s="8" t="n">
        <v>8</v>
      </c>
      <c r="H51" s="8" t="s">
        <v>156</v>
      </c>
      <c r="I51" s="5" t="s">
        <v>21</v>
      </c>
      <c r="J51" s="5"/>
      <c r="K51" s="5"/>
      <c r="L51" s="6"/>
      <c r="M51" s="6"/>
      <c r="N51" s="7"/>
    </row>
    <row r="52" customFormat="false" ht="60" hidden="false" customHeight="true" outlineLevel="0" collapsed="false">
      <c r="A52" s="3" t="s">
        <v>182</v>
      </c>
      <c r="B52" s="4" t="s">
        <v>183</v>
      </c>
      <c r="C52" s="3" t="s">
        <v>193</v>
      </c>
      <c r="D52" s="4" t="s">
        <v>194</v>
      </c>
      <c r="E52" s="4" t="s">
        <v>195</v>
      </c>
      <c r="F52" s="3" t="s">
        <v>37</v>
      </c>
      <c r="G52" s="3" t="n">
        <v>8</v>
      </c>
      <c r="H52" s="3" t="s">
        <v>156</v>
      </c>
      <c r="I52" s="5" t="s">
        <v>21</v>
      </c>
      <c r="J52" s="5"/>
      <c r="K52" s="5"/>
      <c r="L52" s="6"/>
      <c r="M52" s="6"/>
      <c r="N52" s="7"/>
    </row>
    <row r="53" customFormat="false" ht="60" hidden="false" customHeight="true" outlineLevel="0" collapsed="false">
      <c r="A53" s="8" t="s">
        <v>196</v>
      </c>
      <c r="B53" s="9" t="s">
        <v>197</v>
      </c>
      <c r="C53" s="8" t="s">
        <v>198</v>
      </c>
      <c r="D53" s="9" t="s">
        <v>199</v>
      </c>
      <c r="E53" s="9" t="s">
        <v>200</v>
      </c>
      <c r="F53" s="8" t="s">
        <v>19</v>
      </c>
      <c r="G53" s="8" t="n">
        <v>8</v>
      </c>
      <c r="H53" s="8" t="s">
        <v>20</v>
      </c>
      <c r="I53" s="5" t="s">
        <v>21</v>
      </c>
      <c r="J53" s="5"/>
      <c r="K53" s="5"/>
      <c r="L53" s="6"/>
      <c r="M53" s="6"/>
      <c r="N53" s="7"/>
    </row>
    <row r="54" customFormat="false" ht="60" hidden="false" customHeight="true" outlineLevel="0" collapsed="false">
      <c r="A54" s="3" t="s">
        <v>196</v>
      </c>
      <c r="B54" s="4" t="s">
        <v>197</v>
      </c>
      <c r="C54" s="3" t="s">
        <v>201</v>
      </c>
      <c r="D54" s="4" t="s">
        <v>202</v>
      </c>
      <c r="E54" s="4" t="s">
        <v>203</v>
      </c>
      <c r="F54" s="3" t="s">
        <v>19</v>
      </c>
      <c r="G54" s="3" t="n">
        <v>8</v>
      </c>
      <c r="H54" s="3" t="s">
        <v>20</v>
      </c>
      <c r="I54" s="5" t="s">
        <v>21</v>
      </c>
      <c r="J54" s="5"/>
      <c r="K54" s="5"/>
      <c r="L54" s="6"/>
      <c r="M54" s="6"/>
      <c r="N54" s="7"/>
    </row>
    <row r="55" customFormat="false" ht="60" hidden="false" customHeight="true" outlineLevel="0" collapsed="false">
      <c r="A55" s="8" t="s">
        <v>204</v>
      </c>
      <c r="B55" s="9" t="s">
        <v>205</v>
      </c>
      <c r="C55" s="8" t="s">
        <v>206</v>
      </c>
      <c r="D55" s="9" t="s">
        <v>207</v>
      </c>
      <c r="E55" s="9" t="s">
        <v>208</v>
      </c>
      <c r="F55" s="8" t="s">
        <v>37</v>
      </c>
      <c r="G55" s="8" t="n">
        <v>5</v>
      </c>
      <c r="H55" s="8" t="s">
        <v>156</v>
      </c>
      <c r="I55" s="5" t="s">
        <v>21</v>
      </c>
      <c r="J55" s="5"/>
      <c r="K55" s="5"/>
      <c r="L55" s="6"/>
      <c r="M55" s="6"/>
      <c r="N55" s="7"/>
    </row>
  </sheetData>
  <autoFilter ref="A1:N55"/>
  <conditionalFormatting sqref="I2:I55">
    <cfRule type="cellIs" priority="2" operator="equal" aboveAverage="0" equalAverage="0" bottom="0" percent="0" rank="0" text="" dxfId="9">
      <formula>"Done"</formula>
    </cfRule>
    <cfRule type="cellIs" priority="3" operator="equal" aboveAverage="0" equalAverage="0" bottom="0" percent="0" rank="0" text="" dxfId="10">
      <formula>"In Progress"</formula>
    </cfRule>
    <cfRule type="cellIs" priority="4" operator="equal" aboveAverage="0" equalAverage="0" bottom="0" percent="0" rank="0" text="" dxfId="11">
      <formula>"Blocked"</formula>
    </cfRule>
    <cfRule type="cellIs" priority="5" operator="equal" aboveAverage="0" equalAverage="0" bottom="0" percent="0" rank="0" text="" dxfId="12">
      <formula>"In Review"</formula>
    </cfRule>
  </conditionalFormatting>
  <conditionalFormatting sqref="F2:F55">
    <cfRule type="cellIs" priority="6" operator="equal" aboveAverage="0" equalAverage="0" bottom="0" percent="0" rank="0" text="" dxfId="11">
      <formula>"Must"</formula>
    </cfRule>
    <cfRule type="cellIs" priority="7" operator="equal" aboveAverage="0" equalAverage="0" bottom="0" percent="0" rank="0" text="" dxfId="10">
      <formula>"Should"</formula>
    </cfRule>
    <cfRule type="cellIs" priority="8" operator="equal" aboveAverage="0" equalAverage="0" bottom="0" percent="0" rank="0" text="" dxfId="12">
      <formula>"Could"</formula>
    </cfRule>
  </conditionalFormatting>
  <dataValidations count="2">
    <dataValidation allowBlank="true" error="Please choose a value from the list." errorStyle="stop" operator="between" prompt="Choose a status" showDropDown="false" showErrorMessage="false" showInputMessage="false" sqref="I2:I55" type="list">
      <formula1>"Not Started,In Progress,In Review,Blocked,Done"</formula1>
      <formula2>0</formula2>
    </dataValidation>
    <dataValidation allowBlank="true" errorStyle="stop" operator="between" showDropDown="false" showErrorMessage="false" showInputMessage="false" sqref="K2:K55" type="list">
      <formula1>"Backlog,Sprint 0,Sprint 1,Sprint 2,Sprint 3,Sprint 4,Sprint 5,Sprint 6,Sprint 7,Sprint 8,Sprint 9,Sprint 10,Sprint 11"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0" t="s">
        <v>209</v>
      </c>
    </row>
    <row r="2" customFormat="false" ht="15" hidden="false" customHeight="false" outlineLevel="0" collapsed="false">
      <c r="A2" s="11" t="s">
        <v>210</v>
      </c>
    </row>
    <row r="4" customFormat="false" ht="19.5" hidden="false" customHeight="true" outlineLevel="0" collapsed="false">
      <c r="A4" s="12" t="s">
        <v>211</v>
      </c>
      <c r="B4" s="13"/>
    </row>
    <row r="5" customFormat="false" ht="15" hidden="false" customHeight="false" outlineLevel="0" collapsed="false">
      <c r="A5" s="14" t="s">
        <v>212</v>
      </c>
      <c r="B5" s="15" t="n">
        <f aca="false">SUM(Backlog!G2:G55)</f>
        <v>346</v>
      </c>
    </row>
    <row r="6" customFormat="false" ht="15" hidden="false" customHeight="false" outlineLevel="0" collapsed="false">
      <c r="A6" s="14" t="s">
        <v>213</v>
      </c>
      <c r="B6" s="15" t="n">
        <f aca="false">SUMIFS(Backlog!G2:G55,Backlog!I2:I55,"Done")</f>
        <v>0</v>
      </c>
    </row>
    <row r="7" customFormat="false" ht="15" hidden="false" customHeight="false" outlineLevel="0" collapsed="false">
      <c r="A7" s="14" t="s">
        <v>214</v>
      </c>
      <c r="B7" s="16" t="n">
        <f aca="false">IFERROR(B6/B5,0)</f>
        <v>0</v>
      </c>
    </row>
    <row r="8" customFormat="false" ht="15" hidden="false" customHeight="false" outlineLevel="0" collapsed="false">
      <c r="A8" s="14" t="s">
        <v>215</v>
      </c>
      <c r="B8" s="15" t="n">
        <f aca="false">COUNTA(Backlog!C2:C55)</f>
        <v>54</v>
      </c>
    </row>
    <row r="9" customFormat="false" ht="15" hidden="false" customHeight="false" outlineLevel="0" collapsed="false">
      <c r="A9" s="14" t="s">
        <v>216</v>
      </c>
      <c r="B9" s="15" t="n">
        <f aca="false">COUNTIFS(Backlog!I2:I55,"Done")</f>
        <v>0</v>
      </c>
    </row>
    <row r="10" customFormat="false" ht="15" hidden="false" customHeight="false" outlineLevel="0" collapsed="false">
      <c r="A10" s="14" t="s">
        <v>217</v>
      </c>
      <c r="B10" s="15" t="n">
        <f aca="false">COUNTIFS(Backlog!I2:I55,"In Progress")</f>
        <v>0</v>
      </c>
    </row>
    <row r="11" customFormat="false" ht="15" hidden="false" customHeight="false" outlineLevel="0" collapsed="false">
      <c r="A11" s="14" t="s">
        <v>218</v>
      </c>
      <c r="B11" s="15" t="n">
        <f aca="false">COUNTIFS(Backlog!I2:I55,"Blocked")</f>
        <v>0</v>
      </c>
    </row>
    <row r="12" customFormat="false" ht="15" hidden="false" customHeight="false" outlineLevel="0" collapsed="false">
      <c r="A12" s="14" t="s">
        <v>21</v>
      </c>
      <c r="B12" s="15" t="n">
        <f aca="false">COUNTIFS(Backlog!I2:I55,"Not Started")</f>
        <v>54</v>
      </c>
    </row>
    <row r="14" customFormat="false" ht="19.5" hidden="false" customHeight="true" outlineLevel="0" collapsed="false">
      <c r="A14" s="12" t="s">
        <v>219</v>
      </c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17" t="s">
        <v>220</v>
      </c>
      <c r="B15" s="17" t="s">
        <v>221</v>
      </c>
      <c r="C15" s="17" t="s">
        <v>222</v>
      </c>
      <c r="D15" s="17" t="s">
        <v>223</v>
      </c>
      <c r="E15" s="17" t="s">
        <v>224</v>
      </c>
      <c r="F15" s="17" t="s">
        <v>225</v>
      </c>
    </row>
    <row r="16" customFormat="false" ht="15" hidden="false" customHeight="false" outlineLevel="0" collapsed="false">
      <c r="A16" s="18" t="s">
        <v>226</v>
      </c>
      <c r="B16" s="19" t="n">
        <f aca="false">SUMIFS(Backlog!$G$2:$G$55,Backlog!$A$2:$A$55,"0")</f>
        <v>23</v>
      </c>
      <c r="C16" s="19" t="n">
        <f aca="false">SUMIFS(Backlog!$G$2:$G$55,Backlog!$A$2:$A$55,"0",Backlog!$I$2:$I$55,"Done")</f>
        <v>0</v>
      </c>
      <c r="D16" s="20" t="n">
        <f aca="false">IFERROR(C16/B16,0)</f>
        <v>0</v>
      </c>
      <c r="E16" s="19" t="n">
        <f aca="false">COUNTIFS(Backlog!$A$2:$A$55,"0")</f>
        <v>9</v>
      </c>
      <c r="F16" s="19" t="n">
        <f aca="false">COUNTIFS(Backlog!$A$2:$A$55,"0",Backlog!$I$2:$I$55,"Done")</f>
        <v>0</v>
      </c>
    </row>
    <row r="17" customFormat="false" ht="15" hidden="false" customHeight="false" outlineLevel="0" collapsed="false">
      <c r="A17" s="21" t="s">
        <v>227</v>
      </c>
      <c r="B17" s="22" t="n">
        <f aca="false">SUMIFS(Backlog!$G$2:$G$55,Backlog!$A$2:$A$55,"1")</f>
        <v>18</v>
      </c>
      <c r="C17" s="22" t="n">
        <f aca="false">SUMIFS(Backlog!$G$2:$G$55,Backlog!$A$2:$A$55,"1",Backlog!$I$2:$I$55,"Done")</f>
        <v>0</v>
      </c>
      <c r="D17" s="23" t="n">
        <f aca="false">IFERROR(C17/B17,0)</f>
        <v>0</v>
      </c>
      <c r="E17" s="22" t="n">
        <f aca="false">COUNTIFS(Backlog!$A$2:$A$55,"1")</f>
        <v>4</v>
      </c>
      <c r="F17" s="22" t="n">
        <f aca="false">COUNTIFS(Backlog!$A$2:$A$55,"1",Backlog!$I$2:$I$55,"Done")</f>
        <v>0</v>
      </c>
    </row>
    <row r="18" customFormat="false" ht="15" hidden="false" customHeight="false" outlineLevel="0" collapsed="false">
      <c r="A18" s="18" t="s">
        <v>228</v>
      </c>
      <c r="B18" s="19" t="n">
        <f aca="false">SUMIFS(Backlog!$G$2:$G$55,Backlog!$A$2:$A$55,"2")</f>
        <v>58</v>
      </c>
      <c r="C18" s="19" t="n">
        <f aca="false">SUMIFS(Backlog!$G$2:$G$55,Backlog!$A$2:$A$55,"2",Backlog!$I$2:$I$55,"Done")</f>
        <v>0</v>
      </c>
      <c r="D18" s="20" t="n">
        <f aca="false">IFERROR(C18/B18,0)</f>
        <v>0</v>
      </c>
      <c r="E18" s="19" t="n">
        <f aca="false">COUNTIFS(Backlog!$A$2:$A$55,"2")</f>
        <v>8</v>
      </c>
      <c r="F18" s="19" t="n">
        <f aca="false">COUNTIFS(Backlog!$A$2:$A$55,"2",Backlog!$I$2:$I$55,"Done")</f>
        <v>0</v>
      </c>
    </row>
    <row r="19" customFormat="false" ht="15" hidden="false" customHeight="false" outlineLevel="0" collapsed="false">
      <c r="A19" s="21" t="s">
        <v>229</v>
      </c>
      <c r="B19" s="22" t="n">
        <f aca="false">SUMIFS(Backlog!$G$2:$G$55,Backlog!$A$2:$A$55,"3")</f>
        <v>24</v>
      </c>
      <c r="C19" s="22" t="n">
        <f aca="false">SUMIFS(Backlog!$G$2:$G$55,Backlog!$A$2:$A$55,"3",Backlog!$I$2:$I$55,"Done")</f>
        <v>0</v>
      </c>
      <c r="D19" s="23" t="n">
        <f aca="false">IFERROR(C19/B19,0)</f>
        <v>0</v>
      </c>
      <c r="E19" s="22" t="n">
        <f aca="false">COUNTIFS(Backlog!$A$2:$A$55,"3")</f>
        <v>4</v>
      </c>
      <c r="F19" s="22" t="n">
        <f aca="false">COUNTIFS(Backlog!$A$2:$A$55,"3",Backlog!$I$2:$I$55,"Done")</f>
        <v>0</v>
      </c>
    </row>
    <row r="20" customFormat="false" ht="15" hidden="false" customHeight="false" outlineLevel="0" collapsed="false">
      <c r="A20" s="18" t="s">
        <v>230</v>
      </c>
      <c r="B20" s="19" t="n">
        <f aca="false">SUMIFS(Backlog!$G$2:$G$55,Backlog!$A$2:$A$55,"4")</f>
        <v>55</v>
      </c>
      <c r="C20" s="19" t="n">
        <f aca="false">SUMIFS(Backlog!$G$2:$G$55,Backlog!$A$2:$A$55,"4",Backlog!$I$2:$I$55,"Done")</f>
        <v>0</v>
      </c>
      <c r="D20" s="20" t="n">
        <f aca="false">IFERROR(C20/B20,0)</f>
        <v>0</v>
      </c>
      <c r="E20" s="19" t="n">
        <f aca="false">COUNTIFS(Backlog!$A$2:$A$55,"4")</f>
        <v>7</v>
      </c>
      <c r="F20" s="19" t="n">
        <f aca="false">COUNTIFS(Backlog!$A$2:$A$55,"4",Backlog!$I$2:$I$55,"Done")</f>
        <v>0</v>
      </c>
    </row>
    <row r="21" customFormat="false" ht="15" hidden="false" customHeight="false" outlineLevel="0" collapsed="false">
      <c r="A21" s="21" t="s">
        <v>231</v>
      </c>
      <c r="B21" s="22" t="n">
        <f aca="false">SUMIFS(Backlog!$G$2:$G$55,Backlog!$A$2:$A$55,"5")</f>
        <v>26</v>
      </c>
      <c r="C21" s="22" t="n">
        <f aca="false">SUMIFS(Backlog!$G$2:$G$55,Backlog!$A$2:$A$55,"5",Backlog!$I$2:$I$55,"Done")</f>
        <v>0</v>
      </c>
      <c r="D21" s="23" t="n">
        <f aca="false">IFERROR(C21/B21,0)</f>
        <v>0</v>
      </c>
      <c r="E21" s="22" t="n">
        <f aca="false">COUNTIFS(Backlog!$A$2:$A$55,"5")</f>
        <v>4</v>
      </c>
      <c r="F21" s="22" t="n">
        <f aca="false">COUNTIFS(Backlog!$A$2:$A$55,"5",Backlog!$I$2:$I$55,"Done")</f>
        <v>0</v>
      </c>
    </row>
    <row r="22" customFormat="false" ht="15" hidden="false" customHeight="false" outlineLevel="0" collapsed="false">
      <c r="A22" s="18" t="s">
        <v>232</v>
      </c>
      <c r="B22" s="19" t="n">
        <f aca="false">SUMIFS(Backlog!$G$2:$G$55,Backlog!$A$2:$A$55,"6")</f>
        <v>21</v>
      </c>
      <c r="C22" s="19" t="n">
        <f aca="false">SUMIFS(Backlog!$G$2:$G$55,Backlog!$A$2:$A$55,"6",Backlog!$I$2:$I$55,"Done")</f>
        <v>0</v>
      </c>
      <c r="D22" s="20" t="n">
        <f aca="false">IFERROR(C22/B22,0)</f>
        <v>0</v>
      </c>
      <c r="E22" s="19" t="n">
        <f aca="false">COUNTIFS(Backlog!$A$2:$A$55,"6")</f>
        <v>3</v>
      </c>
      <c r="F22" s="19" t="n">
        <f aca="false">COUNTIFS(Backlog!$A$2:$A$55,"6",Backlog!$I$2:$I$55,"Done")</f>
        <v>0</v>
      </c>
    </row>
    <row r="23" customFormat="false" ht="15" hidden="false" customHeight="false" outlineLevel="0" collapsed="false">
      <c r="A23" s="21" t="s">
        <v>233</v>
      </c>
      <c r="B23" s="22" t="n">
        <f aca="false">SUMIFS(Backlog!$G$2:$G$55,Backlog!$A$2:$A$55,"7")</f>
        <v>13</v>
      </c>
      <c r="C23" s="22" t="n">
        <f aca="false">SUMIFS(Backlog!$G$2:$G$55,Backlog!$A$2:$A$55,"7",Backlog!$I$2:$I$55,"Done")</f>
        <v>0</v>
      </c>
      <c r="D23" s="23" t="n">
        <f aca="false">IFERROR(C23/B23,0)</f>
        <v>0</v>
      </c>
      <c r="E23" s="22" t="n">
        <f aca="false">COUNTIFS(Backlog!$A$2:$A$55,"7")</f>
        <v>2</v>
      </c>
      <c r="F23" s="22" t="n">
        <f aca="false">COUNTIFS(Backlog!$A$2:$A$55,"7",Backlog!$I$2:$I$55,"Done")</f>
        <v>0</v>
      </c>
    </row>
    <row r="24" customFormat="false" ht="15" hidden="false" customHeight="false" outlineLevel="0" collapsed="false">
      <c r="A24" s="18" t="s">
        <v>234</v>
      </c>
      <c r="B24" s="19" t="n">
        <f aca="false">SUMIFS(Backlog!$G$2:$G$55,Backlog!$A$2:$A$55,"8")</f>
        <v>21</v>
      </c>
      <c r="C24" s="19" t="n">
        <f aca="false">SUMIFS(Backlog!$G$2:$G$55,Backlog!$A$2:$A$55,"8",Backlog!$I$2:$I$55,"Done")</f>
        <v>0</v>
      </c>
      <c r="D24" s="20" t="n">
        <f aca="false">IFERROR(C24/B24,0)</f>
        <v>0</v>
      </c>
      <c r="E24" s="19" t="n">
        <f aca="false">COUNTIFS(Backlog!$A$2:$A$55,"8")</f>
        <v>3</v>
      </c>
      <c r="F24" s="19" t="n">
        <f aca="false">COUNTIFS(Backlog!$A$2:$A$55,"8",Backlog!$I$2:$I$55,"Done")</f>
        <v>0</v>
      </c>
    </row>
    <row r="25" customFormat="false" ht="15" hidden="false" customHeight="false" outlineLevel="0" collapsed="false">
      <c r="A25" s="21" t="s">
        <v>235</v>
      </c>
      <c r="B25" s="22" t="n">
        <f aca="false">SUMIFS(Backlog!$G$2:$G$55,Backlog!$A$2:$A$55,"9")</f>
        <v>29</v>
      </c>
      <c r="C25" s="22" t="n">
        <f aca="false">SUMIFS(Backlog!$G$2:$G$55,Backlog!$A$2:$A$55,"9",Backlog!$I$2:$I$55,"Done")</f>
        <v>0</v>
      </c>
      <c r="D25" s="23" t="n">
        <f aca="false">IFERROR(C25/B25,0)</f>
        <v>0</v>
      </c>
      <c r="E25" s="22" t="n">
        <f aca="false">COUNTIFS(Backlog!$A$2:$A$55,"9")</f>
        <v>3</v>
      </c>
      <c r="F25" s="22" t="n">
        <f aca="false">COUNTIFS(Backlog!$A$2:$A$55,"9",Backlog!$I$2:$I$55,"Done")</f>
        <v>0</v>
      </c>
    </row>
    <row r="26" customFormat="false" ht="15" hidden="false" customHeight="false" outlineLevel="0" collapsed="false">
      <c r="A26" s="18" t="s">
        <v>236</v>
      </c>
      <c r="B26" s="19" t="n">
        <f aca="false">SUMIFS(Backlog!$G$2:$G$55,Backlog!$A$2:$A$55,"10")</f>
        <v>37</v>
      </c>
      <c r="C26" s="19" t="n">
        <f aca="false">SUMIFS(Backlog!$G$2:$G$55,Backlog!$A$2:$A$55,"10",Backlog!$I$2:$I$55,"Done")</f>
        <v>0</v>
      </c>
      <c r="D26" s="20" t="n">
        <f aca="false">IFERROR(C26/B26,0)</f>
        <v>0</v>
      </c>
      <c r="E26" s="19" t="n">
        <f aca="false">COUNTIFS(Backlog!$A$2:$A$55,"10")</f>
        <v>4</v>
      </c>
      <c r="F26" s="19" t="n">
        <f aca="false">COUNTIFS(Backlog!$A$2:$A$55,"10",Backlog!$I$2:$I$55,"Done")</f>
        <v>0</v>
      </c>
    </row>
    <row r="27" customFormat="false" ht="15" hidden="false" customHeight="false" outlineLevel="0" collapsed="false">
      <c r="A27" s="21" t="s">
        <v>237</v>
      </c>
      <c r="B27" s="22" t="n">
        <f aca="false">SUMIFS(Backlog!$G$2:$G$55,Backlog!$A$2:$A$55,"11")</f>
        <v>16</v>
      </c>
      <c r="C27" s="22" t="n">
        <f aca="false">SUMIFS(Backlog!$G$2:$G$55,Backlog!$A$2:$A$55,"11",Backlog!$I$2:$I$55,"Done")</f>
        <v>0</v>
      </c>
      <c r="D27" s="23" t="n">
        <f aca="false">IFERROR(C27/B27,0)</f>
        <v>0</v>
      </c>
      <c r="E27" s="22" t="n">
        <f aca="false">COUNTIFS(Backlog!$A$2:$A$55,"11")</f>
        <v>2</v>
      </c>
      <c r="F27" s="22" t="n">
        <f aca="false">COUNTIFS(Backlog!$A$2:$A$55,"11",Backlog!$I$2:$I$55,"Done")</f>
        <v>0</v>
      </c>
    </row>
    <row r="28" customFormat="false" ht="15" hidden="false" customHeight="false" outlineLevel="0" collapsed="false">
      <c r="A28" s="18" t="s">
        <v>238</v>
      </c>
      <c r="B28" s="19" t="n">
        <f aca="false">SUMIFS(Backlog!$G$2:$G$55,Backlog!$A$2:$A$55,"12")</f>
        <v>5</v>
      </c>
      <c r="C28" s="19" t="n">
        <f aca="false">SUMIFS(Backlog!$G$2:$G$55,Backlog!$A$2:$A$55,"12",Backlog!$I$2:$I$55,"Done")</f>
        <v>0</v>
      </c>
      <c r="D28" s="20" t="n">
        <f aca="false">IFERROR(C28/B28,0)</f>
        <v>0</v>
      </c>
      <c r="E28" s="19" t="n">
        <f aca="false">COUNTIFS(Backlog!$A$2:$A$55,"12")</f>
        <v>1</v>
      </c>
      <c r="F28" s="19" t="n">
        <f aca="false">COUNTIFS(Backlog!$A$2:$A$55,"12",Backlog!$I$2:$I$55,"Done")</f>
        <v>0</v>
      </c>
    </row>
    <row r="30" customFormat="false" ht="19.5" hidden="false" customHeight="true" outlineLevel="0" collapsed="false">
      <c r="A30" s="12" t="s">
        <v>239</v>
      </c>
      <c r="B30" s="13"/>
      <c r="C30" s="13"/>
      <c r="D30" s="13"/>
    </row>
    <row r="31" customFormat="false" ht="15" hidden="false" customHeight="false" outlineLevel="0" collapsed="false">
      <c r="A31" s="17" t="s">
        <v>5</v>
      </c>
      <c r="B31" s="17" t="s">
        <v>221</v>
      </c>
      <c r="C31" s="17" t="s">
        <v>222</v>
      </c>
      <c r="D31" s="17" t="s">
        <v>223</v>
      </c>
    </row>
    <row r="32" customFormat="false" ht="15" hidden="false" customHeight="false" outlineLevel="0" collapsed="false">
      <c r="A32" s="24" t="s">
        <v>19</v>
      </c>
      <c r="B32" s="25" t="n">
        <f aca="false">SUMIFS(Backlog!$G$2:$G$55,Backlog!$F$2:$F$55,"Must")</f>
        <v>205</v>
      </c>
      <c r="C32" s="25" t="n">
        <f aca="false">SUMIFS(Backlog!$G$2:$G$55,Backlog!$F$2:$F$55,"Must",Backlog!$I$2:$I$55,"Done")</f>
        <v>0</v>
      </c>
      <c r="D32" s="26" t="n">
        <f aca="false">IFERROR(C32/B32,0)</f>
        <v>0</v>
      </c>
    </row>
    <row r="33" customFormat="false" ht="15" hidden="false" customHeight="false" outlineLevel="0" collapsed="false">
      <c r="A33" s="27" t="s">
        <v>37</v>
      </c>
      <c r="B33" s="28" t="n">
        <f aca="false">SUMIFS(Backlog!$G$2:$G$55,Backlog!$F$2:$F$55,"Should")</f>
        <v>117</v>
      </c>
      <c r="C33" s="28" t="n">
        <f aca="false">SUMIFS(Backlog!$G$2:$G$55,Backlog!$F$2:$F$55,"Should",Backlog!$I$2:$I$55,"Done")</f>
        <v>0</v>
      </c>
      <c r="D33" s="29" t="n">
        <f aca="false">IFERROR(C33/B33,0)</f>
        <v>0</v>
      </c>
    </row>
    <row r="34" customFormat="false" ht="15" hidden="false" customHeight="false" outlineLevel="0" collapsed="false">
      <c r="A34" s="24" t="s">
        <v>72</v>
      </c>
      <c r="B34" s="25" t="n">
        <f aca="false">SUMIFS(Backlog!$G$2:$G$55,Backlog!$F$2:$F$55,"Could")</f>
        <v>24</v>
      </c>
      <c r="C34" s="25" t="n">
        <f aca="false">SUMIFS(Backlog!$G$2:$G$55,Backlog!$F$2:$F$55,"Could",Backlog!$I$2:$I$55,"Done")</f>
        <v>0</v>
      </c>
      <c r="D34" s="26" t="n">
        <f aca="false">IFERROR(C34/B34,0)</f>
        <v>0</v>
      </c>
    </row>
    <row r="36" customFormat="false" ht="19.5" hidden="false" customHeight="true" outlineLevel="0" collapsed="false">
      <c r="A36" s="12" t="s">
        <v>240</v>
      </c>
      <c r="B36" s="13"/>
      <c r="C36" s="13"/>
    </row>
    <row r="37" customFormat="false" ht="15" hidden="false" customHeight="false" outlineLevel="0" collapsed="false">
      <c r="A37" s="17" t="s">
        <v>8</v>
      </c>
      <c r="B37" s="17" t="s">
        <v>224</v>
      </c>
      <c r="C37" s="17" t="s">
        <v>6</v>
      </c>
    </row>
    <row r="38" customFormat="false" ht="15" hidden="false" customHeight="false" outlineLevel="0" collapsed="false">
      <c r="A38" s="18" t="s">
        <v>21</v>
      </c>
      <c r="B38" s="25" t="n">
        <f aca="false">COUNTIFS(Backlog!$I$2:$I$55,"Not Started")</f>
        <v>54</v>
      </c>
      <c r="C38" s="25" t="n">
        <f aca="false">SUMIFS(Backlog!$G$2:$G$55,Backlog!$I$2:$I$55,"Not Started")</f>
        <v>346</v>
      </c>
    </row>
    <row r="39" customFormat="false" ht="15" hidden="false" customHeight="false" outlineLevel="0" collapsed="false">
      <c r="A39" s="21" t="s">
        <v>217</v>
      </c>
      <c r="B39" s="28" t="n">
        <f aca="false">COUNTIFS(Backlog!$I$2:$I$55,"In Progress")</f>
        <v>0</v>
      </c>
      <c r="C39" s="28" t="n">
        <f aca="false">SUMIFS(Backlog!$G$2:$G$55,Backlog!$I$2:$I$55,"In Progress")</f>
        <v>0</v>
      </c>
    </row>
    <row r="40" customFormat="false" ht="15" hidden="false" customHeight="false" outlineLevel="0" collapsed="false">
      <c r="A40" s="18" t="s">
        <v>241</v>
      </c>
      <c r="B40" s="25" t="n">
        <f aca="false">COUNTIFS(Backlog!$I$2:$I$55,"In Review")</f>
        <v>0</v>
      </c>
      <c r="C40" s="25" t="n">
        <f aca="false">SUMIFS(Backlog!$G$2:$G$55,Backlog!$I$2:$I$55,"In Review")</f>
        <v>0</v>
      </c>
    </row>
    <row r="41" customFormat="false" ht="15" hidden="false" customHeight="false" outlineLevel="0" collapsed="false">
      <c r="A41" s="21" t="s">
        <v>218</v>
      </c>
      <c r="B41" s="28" t="n">
        <f aca="false">COUNTIFS(Backlog!$I$2:$I$55,"Blocked")</f>
        <v>0</v>
      </c>
      <c r="C41" s="28" t="n">
        <f aca="false">SUMIFS(Backlog!$G$2:$G$55,Backlog!$I$2:$I$55,"Blocked")</f>
        <v>0</v>
      </c>
    </row>
    <row r="42" customFormat="false" ht="15" hidden="false" customHeight="false" outlineLevel="0" collapsed="false">
      <c r="A42" s="18" t="s">
        <v>242</v>
      </c>
      <c r="B42" s="25" t="n">
        <f aca="false">COUNTIFS(Backlog!$I$2:$I$55,"Done")</f>
        <v>0</v>
      </c>
      <c r="C42" s="25" t="n">
        <f aca="false">SUMIFS(Backlog!$G$2:$G$55,Backlog!$I$2:$I$55,"Done")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0" t="s">
        <v>243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1" t="s">
        <v>244</v>
      </c>
    </row>
    <row r="4" customFormat="false" ht="15" hidden="false" customHeight="false" outlineLevel="0" collapsed="false">
      <c r="A4" s="30" t="s">
        <v>245</v>
      </c>
    </row>
    <row r="5" customFormat="false" ht="25.35" hidden="false" customHeight="false" outlineLevel="0" collapsed="false">
      <c r="A5" s="30" t="s">
        <v>246</v>
      </c>
    </row>
    <row r="6" customFormat="false" ht="25.35" hidden="false" customHeight="false" outlineLevel="0" collapsed="false">
      <c r="A6" s="30" t="s">
        <v>247</v>
      </c>
    </row>
    <row r="7" customFormat="false" ht="25.35" hidden="false" customHeight="false" outlineLevel="0" collapsed="false">
      <c r="A7" s="30" t="s">
        <v>248</v>
      </c>
    </row>
    <row r="8" customFormat="false" ht="15" hidden="false" customHeight="false" outlineLevel="0" collapsed="false">
      <c r="A8" s="30" t="s">
        <v>249</v>
      </c>
    </row>
    <row r="9" customFormat="false" ht="15" hidden="false" customHeight="false" outlineLevel="0" collapsed="false">
      <c r="A9" s="30" t="s">
        <v>250</v>
      </c>
    </row>
    <row r="10" customFormat="false" ht="15" hidden="false" customHeight="false" outlineLevel="0" collapsed="false">
      <c r="A10" s="30"/>
    </row>
    <row r="11" customFormat="false" ht="15" hidden="false" customHeight="false" outlineLevel="0" collapsed="false">
      <c r="A11" s="31" t="s">
        <v>251</v>
      </c>
    </row>
    <row r="12" customFormat="false" ht="15" hidden="false" customHeight="false" outlineLevel="0" collapsed="false">
      <c r="A12" s="30" t="s">
        <v>252</v>
      </c>
    </row>
    <row r="13" customFormat="false" ht="15" hidden="false" customHeight="false" outlineLevel="0" collapsed="false">
      <c r="A13" s="30" t="s">
        <v>253</v>
      </c>
    </row>
    <row r="14" customFormat="false" ht="15" hidden="false" customHeight="false" outlineLevel="0" collapsed="false">
      <c r="A14" s="30" t="s">
        <v>254</v>
      </c>
    </row>
    <row r="15" customFormat="false" ht="15" hidden="false" customHeight="false" outlineLevel="0" collapsed="false">
      <c r="A15" s="30" t="s">
        <v>255</v>
      </c>
    </row>
    <row r="16" customFormat="false" ht="15" hidden="false" customHeight="false" outlineLevel="0" collapsed="false">
      <c r="A16" s="30"/>
    </row>
    <row r="17" customFormat="false" ht="15" hidden="false" customHeight="false" outlineLevel="0" collapsed="false">
      <c r="A17" s="31" t="s">
        <v>256</v>
      </c>
    </row>
    <row r="18" customFormat="false" ht="15" hidden="false" customHeight="false" outlineLevel="0" collapsed="false">
      <c r="A18" s="30" t="s">
        <v>257</v>
      </c>
    </row>
    <row r="19" customFormat="false" ht="15" hidden="false" customHeight="false" outlineLevel="0" collapsed="false">
      <c r="A19" s="30" t="s">
        <v>258</v>
      </c>
    </row>
    <row r="20" customFormat="false" ht="15" hidden="false" customHeight="false" outlineLevel="0" collapsed="false">
      <c r="A20" s="30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2026-08-19T11:17:47Z</dcterms:created>
  <dc:creator>openpyxl</dc:creator>
  <dc:description/>
  <dc:language>en-US</dc:language>
  <cp:lastModifiedBy/>
  <dcterms:modified xsi:type="dcterms:W3CDTF">2026-08-19T11:17:55Z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